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6136" tabRatio="600" firstSheet="0" activeTab="0" autoFilterDateGrouping="1"/>
  </bookViews>
  <sheets>
    <sheet name="請求書＋明細書" sheetId="1" state="visible" r:id="rId1"/>
    <sheet name="請求書兼明細書" sheetId="2" state="visible" r:id="rId2"/>
    <sheet name="サンエイ株式会社営統事業部建設課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;@"/>
    <numFmt numFmtId="165" formatCode="&quot;0372785&quot;"/>
  </numFmts>
  <fonts count="18"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sz val="6"/>
      <scheme val="minor"/>
    </font>
    <font>
      <name val="HGP明朝E"/>
      <charset val="128"/>
      <family val="1"/>
      <color theme="1"/>
      <sz val="20"/>
    </font>
    <font>
      <name val="HGP明朝E"/>
      <charset val="128"/>
      <family val="1"/>
      <color theme="1"/>
      <sz val="14"/>
    </font>
    <font>
      <name val="HGP明朝E"/>
      <charset val="128"/>
      <family val="1"/>
      <color theme="1"/>
      <sz val="22"/>
    </font>
    <font>
      <name val="HGSｺﾞｼｯｸM"/>
      <charset val="128"/>
      <family val="3"/>
      <i val="1"/>
      <color theme="1"/>
      <sz val="11"/>
    </font>
    <font>
      <name val="HGS平成明朝体W3"/>
      <charset val="128"/>
      <family val="1"/>
      <color theme="1"/>
      <sz val="12"/>
    </font>
    <font>
      <name val="ＭＳ Ｐゴシック"/>
      <charset val="128"/>
      <family val="3"/>
      <color theme="1"/>
      <sz val="10"/>
      <scheme val="minor"/>
    </font>
    <font>
      <name val="ＭＳ Ｐゴシック"/>
      <charset val="128"/>
      <family val="2"/>
      <color theme="1"/>
      <sz val="14"/>
      <scheme val="minor"/>
    </font>
    <font>
      <name val="ＭＳ Ｐゴシック"/>
      <charset val="128"/>
      <family val="2"/>
      <color theme="10"/>
      <sz val="11"/>
      <u val="single"/>
      <scheme val="minor"/>
    </font>
    <font>
      <name val="ＭＳ Ｐゴシック"/>
      <charset val="128"/>
      <family val="3"/>
      <b val="1"/>
      <color theme="1"/>
      <sz val="12"/>
      <scheme val="minor"/>
    </font>
    <font>
      <name val="ＭＳ Ｐゴシック"/>
      <charset val="128"/>
      <family val="3"/>
      <b val="1"/>
      <color theme="1"/>
      <sz val="11"/>
      <scheme val="minor"/>
    </font>
    <font>
      <name val="HGPｺﾞｼｯｸE"/>
      <charset val="128"/>
      <family val="3"/>
      <color theme="1"/>
      <sz val="16"/>
    </font>
    <font>
      <name val="HGP明朝E"/>
      <charset val="128"/>
      <family val="1"/>
      <color theme="1"/>
      <sz val="12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i val="1"/>
      <color theme="1"/>
      <sz val="16"/>
      <scheme val="minor"/>
    </font>
    <font>
      <name val="ＭＳ Ｐゴシック"/>
      <charset val="128"/>
      <family val="3"/>
      <i val="1"/>
      <color theme="1"/>
      <sz val="11"/>
      <scheme val="minor"/>
    </font>
  </fonts>
  <fills count="2">
    <fill>
      <patternFill/>
    </fill>
    <fill>
      <patternFill patternType="gray125"/>
    </fill>
  </fills>
  <borders count="3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/>
      <top style="medium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medium">
        <color auto="1"/>
      </bottom>
      <diagonal/>
    </border>
    <border>
      <left/>
      <right style="medium"/>
      <top style="medium">
        <color auto="1"/>
      </top>
      <bottom/>
      <diagonal/>
    </border>
    <border>
      <left/>
      <right style="medium"/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0" fontId="10" fillId="0" borderId="0" applyAlignment="1">
      <alignment vertical="center"/>
    </xf>
  </cellStyleXfs>
  <cellXfs count="76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2">
      <alignment vertical="center"/>
    </xf>
    <xf numFmtId="0" fontId="11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3" fontId="0" fillId="0" borderId="8" applyAlignment="1" pivotButton="0" quotePrefix="0" xfId="0">
      <alignment vertical="center"/>
    </xf>
    <xf numFmtId="38" fontId="0" fillId="0" borderId="8" applyAlignment="1" pivotButton="0" quotePrefix="0" xfId="1">
      <alignment vertical="center"/>
    </xf>
    <xf numFmtId="0" fontId="0" fillId="0" borderId="8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64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7" applyAlignment="1" pivotButton="0" quotePrefix="0" xfId="0">
      <alignment horizontal="right" vertical="center"/>
    </xf>
    <xf numFmtId="0" fontId="12" fillId="0" borderId="8" applyAlignment="1" pivotButton="0" quotePrefix="0" xfId="0">
      <alignment horizontal="right" vertical="center"/>
    </xf>
    <xf numFmtId="3" fontId="12" fillId="0" borderId="8" applyAlignment="1" pivotButton="0" quotePrefix="0" xfId="0">
      <alignment horizontal="right" vertical="center"/>
    </xf>
    <xf numFmtId="0" fontId="12" fillId="0" borderId="9" applyAlignment="1" pivotButton="0" quotePrefix="0" xfId="0">
      <alignment horizontal="right" vertical="center"/>
    </xf>
    <xf numFmtId="0" fontId="12" fillId="0" borderId="13" applyAlignment="1" pivotButton="0" quotePrefix="0" xfId="0">
      <alignment horizontal="right" vertical="center"/>
    </xf>
    <xf numFmtId="0" fontId="12" fillId="0" borderId="14" applyAlignment="1" pivotButton="0" quotePrefix="0" xfId="0">
      <alignment horizontal="right" vertical="center"/>
    </xf>
    <xf numFmtId="38" fontId="12" fillId="0" borderId="15" applyAlignment="1" pivotButton="0" quotePrefix="0" xfId="0">
      <alignment horizontal="right" vertical="center"/>
    </xf>
    <xf numFmtId="0" fontId="12" fillId="0" borderId="16" applyAlignment="1" pivotButton="0" quotePrefix="0" xfId="0">
      <alignment horizontal="right" vertical="center"/>
    </xf>
    <xf numFmtId="0" fontId="12" fillId="0" borderId="17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38" fontId="12" fillId="0" borderId="8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2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9" fillId="0" borderId="0" applyAlignment="1" pivotButton="0" quotePrefix="0" xfId="1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25" pivotButton="0" quotePrefix="0" xfId="0"/>
    <xf numFmtId="0" fontId="0" fillId="0" borderId="11" pivotButton="0" quotePrefix="0" xfId="0"/>
    <xf numFmtId="0" fontId="0" fillId="0" borderId="12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26" pivotButton="0" quotePrefix="0" xfId="0"/>
    <xf numFmtId="164" fontId="0" fillId="0" borderId="8" applyAlignment="1" pivotButton="0" quotePrefix="0" xfId="0">
      <alignment vertical="center"/>
    </xf>
    <xf numFmtId="0" fontId="0" fillId="0" borderId="16" pivotButton="0" quotePrefix="0" xfId="0"/>
    <xf numFmtId="0" fontId="0" fillId="0" borderId="22" pivotButton="0" quotePrefix="0" xfId="0"/>
    <xf numFmtId="38" fontId="12" fillId="0" borderId="23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1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7" pivotButton="0" quotePrefix="0" xfId="0"/>
    <xf numFmtId="0" fontId="13" fillId="0" borderId="28" applyAlignment="1" pivotButton="0" quotePrefix="0" xfId="0">
      <alignment horizontal="center" vertical="center"/>
    </xf>
  </cellXfs>
  <cellStyles count="3">
    <cellStyle name="標準" xfId="0" builtinId="0"/>
    <cellStyle name="桁区切り" xfId="1" builtinId="6"/>
    <cellStyle name="ハイパーリンク" xfId="2" builtinId="8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TEL:0532-88-777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8"/>
  <sheetViews>
    <sheetView tabSelected="1" zoomScale="120" zoomScaleNormal="120" workbookViewId="0">
      <selection activeCell="I34" sqref="I34:K34"/>
    </sheetView>
  </sheetViews>
  <sheetFormatPr baseColWidth="8" defaultRowHeight="13.2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4"/>
    <col width="9.6640625" customWidth="1" style="56" min="15" max="15"/>
    <col width="10.6640625" customWidth="1" style="56" min="16" max="16"/>
    <col width="6.6640625" customWidth="1" style="56" min="17" max="17"/>
    <col width="7.109375" customWidth="1" style="56" min="18" max="18"/>
    <col width="8.6640625" customWidth="1" style="56" min="19" max="19"/>
    <col width="7.6640625" customWidth="1" style="56" min="20" max="21"/>
    <col width="7.44140625" customWidth="1" style="56" min="22" max="22"/>
    <col width="9.21875" bestFit="1" customWidth="1" style="56" min="24" max="24"/>
  </cols>
  <sheetData>
    <row r="1" ht="24.9" customHeight="1" s="56">
      <c r="A1" s="44" t="n"/>
      <c r="F1" s="44" t="inlineStr">
        <is>
          <t>御中</t>
        </is>
      </c>
      <c r="I1" s="45" t="inlineStr">
        <is>
          <t>請求書</t>
        </is>
      </c>
      <c r="L1" s="44" t="n"/>
      <c r="Q1" s="44" t="inlineStr">
        <is>
          <t>御中</t>
        </is>
      </c>
      <c r="T1" s="45" t="inlineStr">
        <is>
          <t>請求明細書</t>
        </is>
      </c>
    </row>
    <row r="2" ht="24.9" customHeight="1" s="56"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6">
      <c r="A3" s="2" t="inlineStr">
        <is>
          <t>工事名</t>
        </is>
      </c>
      <c r="B3" s="42" t="inlineStr">
        <is>
          <t>清掃工事</t>
        </is>
      </c>
      <c r="L3" s="2" t="inlineStr">
        <is>
          <t>工事名</t>
        </is>
      </c>
      <c r="M3" s="42" t="inlineStr">
        <is>
          <t>清掃工事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  <c r="S4" s="3" t="inlineStr">
        <is>
          <t>日付：</t>
        </is>
      </c>
      <c r="T4" s="43" t="inlineStr">
        <is>
          <t>年</t>
        </is>
      </c>
      <c r="U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  <c r="L5" s="51" t="inlineStr">
        <is>
          <t>株式会社　柚喜</t>
        </is>
      </c>
      <c r="S5" s="3" t="n"/>
      <c r="T5" s="3" t="n"/>
      <c r="U5" s="43" t="n"/>
    </row>
    <row r="6" ht="20.1" customHeight="1" s="56">
      <c r="E6" s="0" t="inlineStr">
        <is>
          <t>　　　</t>
        </is>
      </c>
      <c r="P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  <c r="L9" s="55" t="inlineStr">
        <is>
          <t>住所：　愛知県豊橋市東森岡1-7-13</t>
        </is>
      </c>
      <c r="R9" s="55" t="n"/>
      <c r="S9" s="40" t="n"/>
      <c r="U9" s="39" t="n"/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  <c r="L10" s="54" t="inlineStr">
        <is>
          <t xml:space="preserve">　　　　　　TEL:　　0532-88-7770</t>
        </is>
      </c>
      <c r="S10" s="40" t="n"/>
      <c r="U10" s="39" t="n"/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  <c r="L11" s="53" t="inlineStr">
        <is>
          <t xml:space="preserve">　　　　　　FAX:　　0532-88-4591</t>
        </is>
      </c>
      <c r="S11" s="40" t="n"/>
      <c r="U11" s="39" t="n"/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  <c r="L12" s="55" t="inlineStr">
        <is>
          <t>E-MAIL:　cs-yuzuki0109@cd5.so-net.ne.ip</t>
        </is>
      </c>
      <c r="S12" s="39" t="n"/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  <c r="L13" s="5" t="n"/>
      <c r="M13" s="5" t="n"/>
      <c r="N13" s="5" t="n"/>
      <c r="O13" s="5" t="n"/>
      <c r="P13" s="5" t="n"/>
      <c r="Q13" s="5" t="n"/>
      <c r="R13" s="5" t="n"/>
      <c r="S13" s="40" t="n"/>
      <c r="U13" s="57" t="n"/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6" thickBot="1">
      <c r="C15" s="6" t="n"/>
      <c r="N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  <c r="L16" s="58" t="inlineStr">
        <is>
          <t>品名・内容</t>
        </is>
      </c>
      <c r="M16" s="59" t="n"/>
      <c r="N16" s="59" t="n"/>
      <c r="O16" s="60" t="n"/>
      <c r="P16" s="37" t="inlineStr">
        <is>
          <t>日付</t>
        </is>
      </c>
      <c r="Q16" s="37" t="inlineStr">
        <is>
          <t>数量</t>
        </is>
      </c>
      <c r="R16" s="37" t="inlineStr">
        <is>
          <t>単位</t>
        </is>
      </c>
      <c r="S16" s="37" t="inlineStr">
        <is>
          <t>単価</t>
        </is>
      </c>
      <c r="T16" s="37" t="inlineStr">
        <is>
          <t>金額</t>
        </is>
      </c>
      <c r="U16" s="59" t="n"/>
      <c r="V16" s="61" t="n"/>
    </row>
    <row r="17" ht="20.1" customHeight="1" s="56">
      <c r="A17" s="29" t="inlineStr">
        <is>
          <t>清掃工事</t>
        </is>
      </c>
      <c r="B17" s="62" t="n"/>
      <c r="C17" s="62" t="n"/>
      <c r="D17" s="63" t="n"/>
      <c r="E17" s="64" t="n"/>
      <c r="F17" s="27" t="n"/>
      <c r="G17" s="27" t="n"/>
      <c r="H17" s="9" t="n"/>
      <c r="I17" s="28">
        <f>T35</f>
        <v/>
      </c>
      <c r="J17" s="62" t="n"/>
      <c r="K17" s="63" t="n"/>
      <c r="L17" s="29" t="n"/>
      <c r="M17" s="62" t="n"/>
      <c r="N17" s="62" t="n"/>
      <c r="O17" s="63" t="n"/>
      <c r="P17" s="64" t="n"/>
      <c r="Q17" s="27" t="n"/>
      <c r="R17" s="27" t="n"/>
      <c r="S17" s="9" t="n"/>
      <c r="T17" s="28">
        <f>S17*Q17</f>
        <v/>
      </c>
      <c r="U17" s="62" t="n"/>
      <c r="V17" s="65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  <c r="L18" s="29" t="n"/>
      <c r="M18" s="62" t="n"/>
      <c r="N18" s="62" t="n"/>
      <c r="O18" s="63" t="n"/>
      <c r="P18" s="64" t="n"/>
      <c r="Q18" s="27" t="n"/>
      <c r="R18" s="27" t="n"/>
      <c r="S18" s="9" t="n"/>
      <c r="T18" s="28">
        <f>S18*Q18</f>
        <v/>
      </c>
      <c r="U18" s="62" t="n"/>
      <c r="V18" s="65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  <c r="L19" s="29" t="n"/>
      <c r="M19" s="62" t="n"/>
      <c r="N19" s="62" t="n"/>
      <c r="O19" s="63" t="n"/>
      <c r="P19" s="64" t="n"/>
      <c r="Q19" s="27" t="n"/>
      <c r="R19" s="27" t="n"/>
      <c r="S19" s="9" t="n"/>
      <c r="T19" s="28">
        <f>S19*Q19</f>
        <v/>
      </c>
      <c r="U19" s="62" t="n"/>
      <c r="V19" s="65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  <c r="L20" s="29" t="n"/>
      <c r="M20" s="62" t="n"/>
      <c r="N20" s="62" t="n"/>
      <c r="O20" s="63" t="n"/>
      <c r="P20" s="64" t="n"/>
      <c r="Q20" s="27" t="n"/>
      <c r="R20" s="27" t="n"/>
      <c r="S20" s="9" t="n"/>
      <c r="T20" s="28">
        <f>S20*Q20</f>
        <v/>
      </c>
      <c r="U20" s="62" t="n"/>
      <c r="V20" s="65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  <c r="L21" s="29" t="n"/>
      <c r="M21" s="62" t="n"/>
      <c r="N21" s="62" t="n"/>
      <c r="O21" s="63" t="n"/>
      <c r="P21" s="64" t="n"/>
      <c r="Q21" s="27" t="n"/>
      <c r="R21" s="27" t="n"/>
      <c r="S21" s="9" t="n"/>
      <c r="T21" s="28">
        <f>S21*Q21</f>
        <v/>
      </c>
      <c r="U21" s="62" t="n"/>
      <c r="V21" s="65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  <c r="L22" s="29" t="n"/>
      <c r="M22" s="62" t="n"/>
      <c r="N22" s="62" t="n"/>
      <c r="O22" s="63" t="n"/>
      <c r="P22" s="64" t="n"/>
      <c r="Q22" s="27" t="n"/>
      <c r="R22" s="27" t="n"/>
      <c r="S22" s="9" t="n"/>
      <c r="T22" s="28">
        <f>S22*Q22</f>
        <v/>
      </c>
      <c r="U22" s="62" t="n"/>
      <c r="V22" s="65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  <c r="L23" s="29" t="n"/>
      <c r="M23" s="62" t="n"/>
      <c r="N23" s="62" t="n"/>
      <c r="O23" s="63" t="n"/>
      <c r="P23" s="64" t="n"/>
      <c r="Q23" s="27" t="n"/>
      <c r="R23" s="27" t="n"/>
      <c r="S23" s="9" t="n"/>
      <c r="T23" s="28">
        <f>S23*Q23</f>
        <v/>
      </c>
      <c r="U23" s="62" t="n"/>
      <c r="V23" s="65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  <c r="L24" s="29" t="n"/>
      <c r="M24" s="62" t="n"/>
      <c r="N24" s="62" t="n"/>
      <c r="O24" s="63" t="n"/>
      <c r="P24" s="64" t="n"/>
      <c r="Q24" s="27" t="n"/>
      <c r="R24" s="27" t="n"/>
      <c r="S24" s="9" t="n"/>
      <c r="T24" s="28">
        <f>S24*Q24</f>
        <v/>
      </c>
      <c r="U24" s="62" t="n"/>
      <c r="V24" s="65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  <c r="L25" s="29" t="n"/>
      <c r="M25" s="62" t="n"/>
      <c r="N25" s="62" t="n"/>
      <c r="O25" s="63" t="n"/>
      <c r="P25" s="64" t="n"/>
      <c r="Q25" s="27" t="n"/>
      <c r="R25" s="27" t="n"/>
      <c r="S25" s="9" t="n"/>
      <c r="T25" s="28">
        <f>S25*Q25</f>
        <v/>
      </c>
      <c r="U25" s="62" t="n"/>
      <c r="V25" s="65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  <c r="L26" s="29" t="n"/>
      <c r="M26" s="62" t="n"/>
      <c r="N26" s="62" t="n"/>
      <c r="O26" s="63" t="n"/>
      <c r="P26" s="64" t="n"/>
      <c r="Q26" s="27" t="n"/>
      <c r="R26" s="27" t="n"/>
      <c r="S26" s="9" t="n"/>
      <c r="T26" s="28">
        <f>S26*Q26</f>
        <v/>
      </c>
      <c r="U26" s="62" t="n"/>
      <c r="V26" s="65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  <c r="L27" s="29" t="n"/>
      <c r="M27" s="62" t="n"/>
      <c r="N27" s="62" t="n"/>
      <c r="O27" s="63" t="n"/>
      <c r="P27" s="64" t="n"/>
      <c r="Q27" s="27" t="n"/>
      <c r="R27" s="27" t="n"/>
      <c r="S27" s="9" t="n"/>
      <c r="T27" s="28">
        <f>S27*Q27</f>
        <v/>
      </c>
      <c r="U27" s="62" t="n"/>
      <c r="V27" s="65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  <c r="L28" s="29" t="n"/>
      <c r="M28" s="62" t="n"/>
      <c r="N28" s="62" t="n"/>
      <c r="O28" s="63" t="n"/>
      <c r="P28" s="64" t="n"/>
      <c r="Q28" s="27" t="n"/>
      <c r="R28" s="27" t="n"/>
      <c r="S28" s="9" t="n"/>
      <c r="T28" s="28">
        <f>S28*Q28</f>
        <v/>
      </c>
      <c r="U28" s="62" t="n"/>
      <c r="V28" s="65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  <c r="L29" s="29" t="n"/>
      <c r="M29" s="62" t="n"/>
      <c r="N29" s="62" t="n"/>
      <c r="O29" s="63" t="n"/>
      <c r="P29" s="64" t="n"/>
      <c r="Q29" s="27" t="n"/>
      <c r="R29" s="27" t="n"/>
      <c r="S29" s="10" t="n"/>
      <c r="T29" s="28">
        <f>S29*Q29</f>
        <v/>
      </c>
      <c r="U29" s="62" t="n"/>
      <c r="V29" s="65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  <c r="L30" s="29" t="n"/>
      <c r="M30" s="62" t="n"/>
      <c r="N30" s="62" t="n"/>
      <c r="O30" s="63" t="n"/>
      <c r="P30" s="66" t="n"/>
      <c r="Q30" s="11" t="n"/>
      <c r="R30" s="11" t="n"/>
      <c r="S30" s="10" t="n"/>
      <c r="T30" s="28">
        <f>S30*Q30</f>
        <v/>
      </c>
      <c r="U30" s="62" t="n"/>
      <c r="V30" s="65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  <c r="L31" s="29" t="n"/>
      <c r="M31" s="62" t="n"/>
      <c r="N31" s="62" t="n"/>
      <c r="O31" s="63" t="n"/>
      <c r="P31" s="66" t="n"/>
      <c r="Q31" s="11" t="n"/>
      <c r="R31" s="11" t="n"/>
      <c r="S31" s="10" t="n"/>
      <c r="T31" s="28">
        <f>S31*Q31</f>
        <v/>
      </c>
      <c r="U31" s="62" t="n"/>
      <c r="V31" s="65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  <c r="L32" s="47" t="n"/>
      <c r="M32" s="62" t="n"/>
      <c r="N32" s="62" t="n"/>
      <c r="O32" s="63" t="n"/>
      <c r="P32" s="66" t="n"/>
      <c r="Q32" s="11" t="n"/>
      <c r="R32" s="11" t="n"/>
      <c r="S32" s="11" t="n"/>
      <c r="T32" s="28">
        <f>S32*Q32</f>
        <v/>
      </c>
      <c r="U32" s="62" t="n"/>
      <c r="V32" s="65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I17</f>
        <v/>
      </c>
      <c r="J33" s="62" t="n"/>
      <c r="K33" s="63" t="n"/>
      <c r="L33" s="29" t="n"/>
      <c r="M33" s="62" t="n"/>
      <c r="N33" s="62" t="n"/>
      <c r="O33" s="63" t="n"/>
      <c r="P33" s="66" t="n"/>
      <c r="Q33" s="11" t="n"/>
      <c r="R33" s="11" t="n"/>
      <c r="S33" s="10" t="n"/>
      <c r="T33" s="28">
        <f>S33*Q33</f>
        <v/>
      </c>
      <c r="U33" s="62" t="n"/>
      <c r="V33" s="65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  <c r="L34" s="47" t="n"/>
      <c r="M34" s="62" t="n"/>
      <c r="N34" s="62" t="n"/>
      <c r="O34" s="63" t="n"/>
      <c r="P34" s="66" t="n"/>
      <c r="Q34" s="11" t="n"/>
      <c r="R34" s="11" t="n"/>
      <c r="S34" s="11" t="n"/>
      <c r="T34" s="28">
        <f>S34*Q34</f>
        <v/>
      </c>
      <c r="U34" s="62" t="n"/>
      <c r="V34" s="65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  <c r="L35" s="17" t="inlineStr">
        <is>
          <t>小計</t>
        </is>
      </c>
      <c r="M35" s="62" t="n"/>
      <c r="N35" s="62" t="n"/>
      <c r="O35" s="62" t="n"/>
      <c r="P35" s="62" t="n"/>
      <c r="Q35" s="62" t="n"/>
      <c r="R35" s="62" t="n"/>
      <c r="S35" s="63" t="n"/>
      <c r="T35" s="28">
        <f>SUM(T17:V34)</f>
        <v/>
      </c>
      <c r="U35" s="62" t="n"/>
      <c r="V35" s="65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  <c r="L36" s="17" t="inlineStr">
        <is>
          <t>消費税10％</t>
        </is>
      </c>
      <c r="M36" s="62" t="n"/>
      <c r="N36" s="62" t="n"/>
      <c r="O36" s="62" t="n"/>
      <c r="P36" s="62" t="n"/>
      <c r="Q36" s="62" t="n"/>
      <c r="R36" s="62" t="n"/>
      <c r="S36" s="63" t="n"/>
      <c r="T36" s="19">
        <f>T35*10%</f>
        <v/>
      </c>
      <c r="U36" s="62" t="n"/>
      <c r="V36" s="65" t="n"/>
    </row>
    <row r="37" ht="20.1" customHeight="1" s="56" thickBot="1">
      <c r="K37" s="73" t="n"/>
      <c r="L37" s="21" t="inlineStr">
        <is>
          <t>合計</t>
        </is>
      </c>
      <c r="M37" s="67" t="n"/>
      <c r="N37" s="67" t="n"/>
      <c r="O37" s="67" t="n"/>
      <c r="P37" s="67" t="n"/>
      <c r="Q37" s="67" t="n"/>
      <c r="R37" s="67" t="n"/>
      <c r="S37" s="68" t="n"/>
      <c r="T37" s="69">
        <f>T35+T36</f>
        <v/>
      </c>
      <c r="U37" s="67" t="n"/>
      <c r="V37" s="70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5">
    <mergeCell ref="I32:K32"/>
    <mergeCell ref="H10:I10"/>
    <mergeCell ref="A20:D20"/>
    <mergeCell ref="J10:K10"/>
    <mergeCell ref="L34:O34"/>
    <mergeCell ref="L1:P2"/>
    <mergeCell ref="A29:D29"/>
    <mergeCell ref="H9:I9"/>
    <mergeCell ref="L27:O27"/>
    <mergeCell ref="J9:K9"/>
    <mergeCell ref="I24:K24"/>
    <mergeCell ref="A31:D31"/>
    <mergeCell ref="L17:O17"/>
    <mergeCell ref="T22:V22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:E2"/>
    <mergeCell ref="A16:D16"/>
    <mergeCell ref="S9:T9"/>
    <mergeCell ref="T30:V30"/>
    <mergeCell ref="H13:I13"/>
    <mergeCell ref="T20:V20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T33:V33"/>
    <mergeCell ref="L33:O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zoomScale="120" zoomScaleNormal="120" workbookViewId="0">
      <selection activeCell="I18" sqref="I18:K18"/>
    </sheetView>
  </sheetViews>
  <sheetFormatPr baseColWidth="8" defaultRowHeight="13.2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1"/>
    <col width="9.21875" bestFit="1" customWidth="1" style="56" min="13" max="13"/>
  </cols>
  <sheetData>
    <row r="1" ht="24.9" customHeight="1" s="56">
      <c r="A1" s="44" t="n"/>
      <c r="F1" s="44" t="inlineStr">
        <is>
          <t>御中</t>
        </is>
      </c>
      <c r="I1" s="45" t="inlineStr">
        <is>
          <t>請求書兼明細書</t>
        </is>
      </c>
    </row>
    <row r="2" ht="24.9" customHeight="1" s="56">
      <c r="H2" s="0" t="inlineStr">
        <is>
          <t>登録番号</t>
        </is>
      </c>
      <c r="I2" s="1" t="inlineStr">
        <is>
          <t>T2180301030949</t>
        </is>
      </c>
      <c r="J2" s="1" t="n"/>
      <c r="K2" s="1" t="n"/>
    </row>
    <row r="3" ht="20.1" customHeight="1" s="56">
      <c r="A3" s="2" t="inlineStr">
        <is>
          <t>工事名</t>
        </is>
      </c>
      <c r="B3" s="42" t="inlineStr">
        <is>
          <t>清掃工事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</row>
    <row r="6" ht="20.1" customHeight="1" s="56">
      <c r="E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</row>
    <row r="15" ht="20.1" customHeight="1" s="56" thickBot="1">
      <c r="C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</row>
    <row r="17" ht="20.1" customHeight="1" s="56">
      <c r="A17" s="29" t="n"/>
      <c r="B17" s="62" t="n"/>
      <c r="C17" s="62" t="n"/>
      <c r="D17" s="63" t="n"/>
      <c r="E17" s="64" t="n"/>
      <c r="F17" s="27" t="n"/>
      <c r="G17" s="27" t="n"/>
      <c r="H17" s="9" t="n"/>
      <c r="I17" s="28">
        <f>H17*F17</f>
        <v/>
      </c>
      <c r="J17" s="62" t="n"/>
      <c r="K17" s="63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SUM(I17:K32)</f>
        <v/>
      </c>
      <c r="J33" s="62" t="n"/>
      <c r="K33" s="63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</row>
    <row r="37" ht="20.1" customHeight="1" s="56">
      <c r="K37" s="73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</sheetData>
  <mergeCells count="61">
    <mergeCell ref="I16:K16"/>
    <mergeCell ref="A17:D17"/>
    <mergeCell ref="I32:K32"/>
    <mergeCell ref="A23:D23"/>
    <mergeCell ref="J5:K5"/>
    <mergeCell ref="A22:D22"/>
    <mergeCell ref="I22:K22"/>
    <mergeCell ref="H10:I10"/>
    <mergeCell ref="I28:K28"/>
    <mergeCell ref="A20:D20"/>
    <mergeCell ref="J10:K10"/>
    <mergeCell ref="H12:K12"/>
    <mergeCell ref="A29:D29"/>
    <mergeCell ref="I18:K18"/>
    <mergeCell ref="A19:D19"/>
    <mergeCell ref="I21:K21"/>
    <mergeCell ref="J13:K13"/>
    <mergeCell ref="A28:D28"/>
    <mergeCell ref="H9:I9"/>
    <mergeCell ref="A10:G10"/>
    <mergeCell ref="J9:K9"/>
    <mergeCell ref="I33:K33"/>
    <mergeCell ref="I24:K24"/>
    <mergeCell ref="A31:D31"/>
    <mergeCell ref="I23:K23"/>
    <mergeCell ref="A30:D30"/>
    <mergeCell ref="I1:K1"/>
    <mergeCell ref="I17:K17"/>
    <mergeCell ref="A24:D24"/>
    <mergeCell ref="I35:K35"/>
    <mergeCell ref="I20:K20"/>
    <mergeCell ref="A11:G11"/>
    <mergeCell ref="I29:K29"/>
    <mergeCell ref="I19:K19"/>
    <mergeCell ref="H11:I11"/>
    <mergeCell ref="J4:K4"/>
    <mergeCell ref="A5:D6"/>
    <mergeCell ref="J11:K11"/>
    <mergeCell ref="A9:F9"/>
    <mergeCell ref="F1:G2"/>
    <mergeCell ref="I31:K31"/>
    <mergeCell ref="A25:D25"/>
    <mergeCell ref="A33:H33"/>
    <mergeCell ref="A1:E2"/>
    <mergeCell ref="A16:D16"/>
    <mergeCell ref="I34:K34"/>
    <mergeCell ref="I30:K30"/>
    <mergeCell ref="H13:I13"/>
    <mergeCell ref="B3:D3"/>
    <mergeCell ref="A18:D18"/>
    <mergeCell ref="A27:D27"/>
    <mergeCell ref="A35:H35"/>
    <mergeCell ref="I27:K27"/>
    <mergeCell ref="A36:K37"/>
    <mergeCell ref="A26:D26"/>
    <mergeCell ref="A12:G12"/>
    <mergeCell ref="A21:D21"/>
    <mergeCell ref="I26:K26"/>
    <mergeCell ref="A32:D32"/>
    <mergeCell ref="I25:K25"/>
    <mergeCell ref="A34:H34"/>
  </mergeCells>
  <conditionalFormatting sqref="I17:K32">
    <cfRule type="cellIs" priority="3" operator="equal" dxfId="0">
      <formula>0</formula>
    </cfRule>
  </conditionalFormatting>
  <hyperlinks>
    <hyperlink xmlns:r="http://schemas.openxmlformats.org/officeDocument/2006/relationships" ref="A10" display="TEL:0532-88-7770" r:id="rId1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zoomScale="120" zoomScaleNormal="120" workbookViewId="0">
      <selection activeCell="I34" sqref="I34:K34"/>
    </sheetView>
  </sheetViews>
  <sheetFormatPr baseColWidth="8" defaultRowHeight="13.2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4"/>
    <col width="9.6640625" customWidth="1" style="56" min="15" max="15"/>
    <col width="10.6640625" customWidth="1" style="56" min="16" max="16"/>
    <col width="6.6640625" customWidth="1" style="56" min="17" max="17"/>
    <col width="7.109375" customWidth="1" style="56" min="18" max="18"/>
    <col width="8.6640625" customWidth="1" style="56" min="19" max="19"/>
    <col width="7.6640625" customWidth="1" style="56" min="20" max="21"/>
    <col width="7.44140625" customWidth="1" style="56" min="22" max="22"/>
    <col width="9.21875" bestFit="1" customWidth="1" style="56" min="24" max="24"/>
  </cols>
  <sheetData>
    <row r="1" ht="24.9" customHeight="1" s="56">
      <c r="A1" s="45" t="inlineStr">
        <is>
          <t>サンエイ株式会社</t>
        </is>
      </c>
      <c r="D1" s="49" t="inlineStr">
        <is>
          <t>営統事業部</t>
        </is>
      </c>
      <c r="F1" s="44" t="inlineStr">
        <is>
          <t>御中</t>
        </is>
      </c>
      <c r="I1" s="45" t="inlineStr">
        <is>
          <t>請求書</t>
        </is>
      </c>
      <c r="L1" s="45" t="inlineStr">
        <is>
          <t>サンエイ株式会社</t>
        </is>
      </c>
      <c r="O1" s="49" t="inlineStr">
        <is>
          <t>営統事業部</t>
        </is>
      </c>
      <c r="Q1" s="44" t="inlineStr">
        <is>
          <t>御中</t>
        </is>
      </c>
      <c r="T1" s="45" t="inlineStr">
        <is>
          <t>請求明細書</t>
        </is>
      </c>
    </row>
    <row r="2" ht="24.9" customHeight="1" s="56">
      <c r="D2" s="49" t="inlineStr">
        <is>
          <t>建設課</t>
        </is>
      </c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O2" s="49" t="inlineStr">
        <is>
          <t>建設課</t>
        </is>
      </c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6">
      <c r="A3" s="2" t="inlineStr">
        <is>
          <t>工事名</t>
        </is>
      </c>
      <c r="B3" s="42" t="inlineStr">
        <is>
          <t>清掃応援工事</t>
        </is>
      </c>
      <c r="L3" s="2" t="inlineStr">
        <is>
          <t>工事名</t>
        </is>
      </c>
      <c r="M3" s="42" t="inlineStr">
        <is>
          <t>清掃応援工事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  <c r="S4" s="3" t="inlineStr">
        <is>
          <t>日付：</t>
        </is>
      </c>
      <c r="T4" s="43" t="inlineStr">
        <is>
          <t>年</t>
        </is>
      </c>
      <c r="U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  <c r="L5" s="51" t="inlineStr">
        <is>
          <t>株式会社　柚喜</t>
        </is>
      </c>
      <c r="S5" s="3" t="n"/>
      <c r="T5" s="3" t="n"/>
      <c r="U5" s="43" t="n"/>
    </row>
    <row r="6" ht="20.1" customHeight="1" s="56">
      <c r="E6" s="0" t="inlineStr">
        <is>
          <t>　　　</t>
        </is>
      </c>
      <c r="P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  <c r="L9" s="55" t="inlineStr">
        <is>
          <t>住所：　愛知県豊橋市東森岡1-7-13</t>
        </is>
      </c>
      <c r="R9" s="55" t="n"/>
      <c r="S9" s="40" t="n"/>
      <c r="U9" s="39" t="n"/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  <c r="L10" s="54" t="inlineStr">
        <is>
          <t xml:space="preserve">　　　　　　TEL:　　0532-88-7770</t>
        </is>
      </c>
      <c r="S10" s="40" t="n"/>
      <c r="U10" s="39" t="n"/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  <c r="L11" s="53" t="inlineStr">
        <is>
          <t xml:space="preserve">　　　　　　FAX:　　0532-88-4591</t>
        </is>
      </c>
      <c r="S11" s="40" t="n"/>
      <c r="U11" s="39" t="n"/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  <c r="L12" s="55" t="inlineStr">
        <is>
          <t>E-MAIL:　cs-yuzuki0109@cd5.so-net.ne.ip</t>
        </is>
      </c>
      <c r="S12" s="39" t="n"/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  <c r="L13" s="5" t="n"/>
      <c r="M13" s="5" t="n"/>
      <c r="N13" s="5" t="n"/>
      <c r="O13" s="5" t="n"/>
      <c r="P13" s="5" t="n"/>
      <c r="Q13" s="5" t="n"/>
      <c r="R13" s="5" t="n"/>
      <c r="S13" s="40" t="n"/>
      <c r="U13" s="57" t="n"/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6" thickBot="1">
      <c r="C15" s="6" t="n"/>
      <c r="N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  <c r="L16" s="58" t="inlineStr">
        <is>
          <t>品名・内容</t>
        </is>
      </c>
      <c r="M16" s="59" t="n"/>
      <c r="N16" s="59" t="n"/>
      <c r="O16" s="60" t="n"/>
      <c r="P16" s="37" t="inlineStr">
        <is>
          <t>日付</t>
        </is>
      </c>
      <c r="Q16" s="37" t="inlineStr">
        <is>
          <t>数量</t>
        </is>
      </c>
      <c r="R16" s="37" t="inlineStr">
        <is>
          <t>単位</t>
        </is>
      </c>
      <c r="S16" s="37" t="inlineStr">
        <is>
          <t>単価</t>
        </is>
      </c>
      <c r="T16" s="37" t="inlineStr">
        <is>
          <t>金額</t>
        </is>
      </c>
      <c r="U16" s="59" t="n"/>
      <c r="V16" s="60" t="n"/>
    </row>
    <row r="17" ht="20.1" customHeight="1" s="56">
      <c r="A17" s="29" t="inlineStr">
        <is>
          <t>清掃応援工事</t>
        </is>
      </c>
      <c r="B17" s="62" t="n"/>
      <c r="C17" s="62" t="n"/>
      <c r="D17" s="63" t="n"/>
      <c r="E17" s="64" t="n"/>
      <c r="F17" s="27" t="n"/>
      <c r="G17" s="27" t="n"/>
      <c r="H17" s="9" t="n"/>
      <c r="I17" s="28">
        <f>T35</f>
        <v/>
      </c>
      <c r="J17" s="62" t="n"/>
      <c r="K17" s="63" t="n"/>
      <c r="L17" s="29" t="n"/>
      <c r="M17" s="62" t="n"/>
      <c r="N17" s="62" t="n"/>
      <c r="O17" s="63" t="n"/>
      <c r="P17" s="64" t="n"/>
      <c r="Q17" s="27" t="n"/>
      <c r="R17" s="27" t="n"/>
      <c r="S17" s="9" t="n"/>
      <c r="T17" s="28">
        <f>S17*Q17</f>
        <v/>
      </c>
      <c r="U17" s="62" t="n"/>
      <c r="V17" s="63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  <c r="L18" s="29" t="n"/>
      <c r="M18" s="62" t="n"/>
      <c r="N18" s="62" t="n"/>
      <c r="O18" s="63" t="n"/>
      <c r="P18" s="64" t="n"/>
      <c r="Q18" s="27" t="n"/>
      <c r="R18" s="27" t="n"/>
      <c r="S18" s="9" t="n"/>
      <c r="T18" s="28">
        <f>S18*Q18</f>
        <v/>
      </c>
      <c r="U18" s="62" t="n"/>
      <c r="V18" s="63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  <c r="L19" s="29" t="n"/>
      <c r="M19" s="62" t="n"/>
      <c r="N19" s="62" t="n"/>
      <c r="O19" s="63" t="n"/>
      <c r="P19" s="64" t="n"/>
      <c r="Q19" s="27" t="n"/>
      <c r="R19" s="27" t="n"/>
      <c r="S19" s="9" t="n"/>
      <c r="T19" s="28">
        <f>S19*Q19</f>
        <v/>
      </c>
      <c r="U19" s="62" t="n"/>
      <c r="V19" s="63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  <c r="L20" s="29" t="n"/>
      <c r="M20" s="62" t="n"/>
      <c r="N20" s="62" t="n"/>
      <c r="O20" s="63" t="n"/>
      <c r="P20" s="64" t="n"/>
      <c r="Q20" s="27" t="n"/>
      <c r="R20" s="27" t="n"/>
      <c r="S20" s="9" t="n"/>
      <c r="T20" s="28">
        <f>S20*Q20</f>
        <v/>
      </c>
      <c r="U20" s="62" t="n"/>
      <c r="V20" s="63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  <c r="L21" s="29" t="n"/>
      <c r="M21" s="62" t="n"/>
      <c r="N21" s="62" t="n"/>
      <c r="O21" s="63" t="n"/>
      <c r="P21" s="64" t="n"/>
      <c r="Q21" s="27" t="n"/>
      <c r="R21" s="27" t="n"/>
      <c r="S21" s="9" t="n"/>
      <c r="T21" s="28">
        <f>S21*Q21</f>
        <v/>
      </c>
      <c r="U21" s="62" t="n"/>
      <c r="V21" s="63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  <c r="L22" s="29" t="n"/>
      <c r="M22" s="62" t="n"/>
      <c r="N22" s="62" t="n"/>
      <c r="O22" s="63" t="n"/>
      <c r="P22" s="64" t="n"/>
      <c r="Q22" s="27" t="n"/>
      <c r="R22" s="27" t="n"/>
      <c r="S22" s="9" t="n"/>
      <c r="T22" s="28">
        <f>S22*Q22</f>
        <v/>
      </c>
      <c r="U22" s="62" t="n"/>
      <c r="V22" s="63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  <c r="L23" s="29" t="n"/>
      <c r="M23" s="62" t="n"/>
      <c r="N23" s="62" t="n"/>
      <c r="O23" s="63" t="n"/>
      <c r="P23" s="64" t="n"/>
      <c r="Q23" s="27" t="n"/>
      <c r="R23" s="27" t="n"/>
      <c r="S23" s="9" t="n"/>
      <c r="T23" s="28">
        <f>S23*Q23</f>
        <v/>
      </c>
      <c r="U23" s="62" t="n"/>
      <c r="V23" s="63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  <c r="L24" s="29" t="n"/>
      <c r="M24" s="62" t="n"/>
      <c r="N24" s="62" t="n"/>
      <c r="O24" s="63" t="n"/>
      <c r="P24" s="64" t="n"/>
      <c r="Q24" s="27" t="n"/>
      <c r="R24" s="27" t="n"/>
      <c r="S24" s="9" t="n"/>
      <c r="T24" s="28">
        <f>S24*Q24</f>
        <v/>
      </c>
      <c r="U24" s="62" t="n"/>
      <c r="V24" s="63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  <c r="L25" s="29" t="n"/>
      <c r="M25" s="62" t="n"/>
      <c r="N25" s="62" t="n"/>
      <c r="O25" s="63" t="n"/>
      <c r="P25" s="64" t="n"/>
      <c r="Q25" s="27" t="n"/>
      <c r="R25" s="27" t="n"/>
      <c r="S25" s="9" t="n"/>
      <c r="T25" s="28">
        <f>S25*Q25</f>
        <v/>
      </c>
      <c r="U25" s="62" t="n"/>
      <c r="V25" s="63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  <c r="L26" s="29" t="n"/>
      <c r="M26" s="62" t="n"/>
      <c r="N26" s="62" t="n"/>
      <c r="O26" s="63" t="n"/>
      <c r="P26" s="64" t="n"/>
      <c r="Q26" s="27" t="n"/>
      <c r="R26" s="27" t="n"/>
      <c r="S26" s="9" t="n"/>
      <c r="T26" s="28">
        <f>S26*Q26</f>
        <v/>
      </c>
      <c r="U26" s="62" t="n"/>
      <c r="V26" s="63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  <c r="L27" s="29" t="n"/>
      <c r="M27" s="62" t="n"/>
      <c r="N27" s="62" t="n"/>
      <c r="O27" s="63" t="n"/>
      <c r="P27" s="64" t="n"/>
      <c r="Q27" s="27" t="n"/>
      <c r="R27" s="27" t="n"/>
      <c r="S27" s="9" t="n"/>
      <c r="T27" s="28">
        <f>S27*Q27</f>
        <v/>
      </c>
      <c r="U27" s="62" t="n"/>
      <c r="V27" s="63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  <c r="L28" s="29" t="n"/>
      <c r="M28" s="62" t="n"/>
      <c r="N28" s="62" t="n"/>
      <c r="O28" s="63" t="n"/>
      <c r="P28" s="64" t="n"/>
      <c r="Q28" s="27" t="n"/>
      <c r="R28" s="27" t="n"/>
      <c r="S28" s="9" t="n"/>
      <c r="T28" s="28">
        <f>S28*Q28</f>
        <v/>
      </c>
      <c r="U28" s="62" t="n"/>
      <c r="V28" s="63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  <c r="L29" s="29" t="n"/>
      <c r="M29" s="62" t="n"/>
      <c r="N29" s="62" t="n"/>
      <c r="O29" s="63" t="n"/>
      <c r="P29" s="64" t="n"/>
      <c r="Q29" s="27" t="n"/>
      <c r="R29" s="27" t="n"/>
      <c r="S29" s="10" t="n"/>
      <c r="T29" s="28">
        <f>S29*Q29</f>
        <v/>
      </c>
      <c r="U29" s="62" t="n"/>
      <c r="V29" s="63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  <c r="L30" s="29" t="n"/>
      <c r="M30" s="62" t="n"/>
      <c r="N30" s="62" t="n"/>
      <c r="O30" s="63" t="n"/>
      <c r="P30" s="66" t="n"/>
      <c r="Q30" s="11" t="n"/>
      <c r="R30" s="11" t="n"/>
      <c r="S30" s="10" t="n"/>
      <c r="T30" s="28">
        <f>S30*Q30</f>
        <v/>
      </c>
      <c r="U30" s="62" t="n"/>
      <c r="V30" s="63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  <c r="L31" s="29" t="n"/>
      <c r="M31" s="62" t="n"/>
      <c r="N31" s="62" t="n"/>
      <c r="O31" s="63" t="n"/>
      <c r="P31" s="66" t="n"/>
      <c r="Q31" s="11" t="n"/>
      <c r="R31" s="11" t="n"/>
      <c r="S31" s="10" t="n"/>
      <c r="T31" s="28">
        <f>S31*Q31</f>
        <v/>
      </c>
      <c r="U31" s="62" t="n"/>
      <c r="V31" s="63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  <c r="L32" s="47" t="n"/>
      <c r="M32" s="62" t="n"/>
      <c r="N32" s="62" t="n"/>
      <c r="O32" s="63" t="n"/>
      <c r="P32" s="66" t="n"/>
      <c r="Q32" s="11" t="n"/>
      <c r="R32" s="11" t="n"/>
      <c r="S32" s="11" t="n"/>
      <c r="T32" s="28">
        <f>S32*Q32</f>
        <v/>
      </c>
      <c r="U32" s="62" t="n"/>
      <c r="V32" s="63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I17</f>
        <v/>
      </c>
      <c r="J33" s="62" t="n"/>
      <c r="K33" s="63" t="n"/>
      <c r="L33" s="29" t="n"/>
      <c r="M33" s="62" t="n"/>
      <c r="N33" s="62" t="n"/>
      <c r="O33" s="63" t="n"/>
      <c r="P33" s="66" t="n"/>
      <c r="Q33" s="11" t="n"/>
      <c r="R33" s="11" t="n"/>
      <c r="S33" s="10" t="n"/>
      <c r="T33" s="28">
        <f>S33*Q33</f>
        <v/>
      </c>
      <c r="U33" s="62" t="n"/>
      <c r="V33" s="63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  <c r="L34" s="47" t="n"/>
      <c r="M34" s="62" t="n"/>
      <c r="N34" s="62" t="n"/>
      <c r="O34" s="63" t="n"/>
      <c r="P34" s="66" t="n"/>
      <c r="Q34" s="11" t="n"/>
      <c r="R34" s="11" t="n"/>
      <c r="S34" s="11" t="n"/>
      <c r="T34" s="28">
        <f>S34*Q34</f>
        <v/>
      </c>
      <c r="U34" s="62" t="n"/>
      <c r="V34" s="63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  <c r="L35" s="17" t="inlineStr">
        <is>
          <t>小計</t>
        </is>
      </c>
      <c r="M35" s="62" t="n"/>
      <c r="N35" s="62" t="n"/>
      <c r="O35" s="62" t="n"/>
      <c r="P35" s="62" t="n"/>
      <c r="Q35" s="62" t="n"/>
      <c r="R35" s="62" t="n"/>
      <c r="S35" s="63" t="n"/>
      <c r="T35" s="28">
        <f>SUM(T17:V34)</f>
        <v/>
      </c>
      <c r="U35" s="62" t="n"/>
      <c r="V35" s="63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  <c r="L36" s="17" t="inlineStr">
        <is>
          <t>消費税10％</t>
        </is>
      </c>
      <c r="M36" s="62" t="n"/>
      <c r="N36" s="62" t="n"/>
      <c r="O36" s="62" t="n"/>
      <c r="P36" s="62" t="n"/>
      <c r="Q36" s="62" t="n"/>
      <c r="R36" s="62" t="n"/>
      <c r="S36" s="63" t="n"/>
      <c r="T36" s="19">
        <f>T35*10%</f>
        <v/>
      </c>
      <c r="U36" s="62" t="n"/>
      <c r="V36" s="63" t="n"/>
    </row>
    <row r="37" ht="20.1" customHeight="1" s="56" thickBot="1">
      <c r="K37" s="73" t="n"/>
      <c r="L37" s="21" t="inlineStr">
        <is>
          <t>合計</t>
        </is>
      </c>
      <c r="M37" s="67" t="n"/>
      <c r="N37" s="67" t="n"/>
      <c r="O37" s="67" t="n"/>
      <c r="P37" s="67" t="n"/>
      <c r="Q37" s="67" t="n"/>
      <c r="R37" s="67" t="n"/>
      <c r="S37" s="68" t="n"/>
      <c r="T37" s="69">
        <f>T35+T36</f>
        <v/>
      </c>
      <c r="U37" s="67" t="n"/>
      <c r="V37" s="74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9">
    <mergeCell ref="I32:K32"/>
    <mergeCell ref="H10:I10"/>
    <mergeCell ref="A20:D20"/>
    <mergeCell ref="J10:K10"/>
    <mergeCell ref="L34:O34"/>
    <mergeCell ref="A29:D29"/>
    <mergeCell ref="H9:I9"/>
    <mergeCell ref="L27:O27"/>
    <mergeCell ref="J9:K9"/>
    <mergeCell ref="I24:K24"/>
    <mergeCell ref="A31:D31"/>
    <mergeCell ref="A1:C2"/>
    <mergeCell ref="L17:O17"/>
    <mergeCell ref="T22:V22"/>
    <mergeCell ref="O1:P1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6:D16"/>
    <mergeCell ref="S9:T9"/>
    <mergeCell ref="T30:V30"/>
    <mergeCell ref="H13:I13"/>
    <mergeCell ref="T20:V20"/>
    <mergeCell ref="O2:P2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D2:E2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D1:E1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L1:N2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2026-02-26T06:06:18Z</dcterms:created>
  <dcterms:modified xsi:type="dcterms:W3CDTF">2026-04-01T13:08:23Z</dcterms:modified>
  <cp:lastModifiedBy>はつく はつく</cp:lastModifiedBy>
  <cp:lastPrinted>2026-03-30T08:46:34Z</cp:lastPrinted>
</cp:coreProperties>
</file>