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ダウンロード\"/>
    </mc:Choice>
  </mc:AlternateContent>
  <xr:revisionPtr revIDLastSave="0" documentId="13_ncr:1_{F0EA19C3-9E40-4302-8382-F73898C5B569}" xr6:coauthVersionLast="47" xr6:coauthVersionMax="47" xr10:uidLastSave="{00000000-0000-0000-0000-000000000000}"/>
  <bookViews>
    <workbookView xWindow="-108" yWindow="-108" windowWidth="46296" windowHeight="26136" activeTab="1" xr2:uid="{00000000-000D-0000-FFFF-FFFF00000000}"/>
  </bookViews>
  <sheets>
    <sheet name="請求書＋明細書" sheetId="1" r:id="rId1"/>
    <sheet name="請求書兼明細書" sheetId="5" r:id="rId2"/>
    <sheet name="サンエイ株式会社営統事業部建設課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5" l="1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33" i="5"/>
  <c r="T34" i="4"/>
  <c r="T33" i="4"/>
  <c r="T32" i="4"/>
  <c r="I32" i="4"/>
  <c r="T31" i="4"/>
  <c r="I31" i="4"/>
  <c r="T30" i="4"/>
  <c r="I30" i="4"/>
  <c r="T29" i="4"/>
  <c r="I29" i="4"/>
  <c r="T28" i="4"/>
  <c r="I28" i="4"/>
  <c r="T27" i="4"/>
  <c r="I27" i="4"/>
  <c r="T26" i="4"/>
  <c r="I26" i="4"/>
  <c r="T25" i="4"/>
  <c r="I25" i="4"/>
  <c r="T24" i="4"/>
  <c r="I24" i="4"/>
  <c r="T23" i="4"/>
  <c r="I23" i="4"/>
  <c r="T22" i="4"/>
  <c r="I22" i="4"/>
  <c r="T21" i="4"/>
  <c r="I21" i="4"/>
  <c r="T20" i="4"/>
  <c r="I20" i="4"/>
  <c r="T19" i="4"/>
  <c r="I19" i="4"/>
  <c r="T18" i="4"/>
  <c r="T35" i="4" s="1"/>
  <c r="I18" i="4"/>
  <c r="T17" i="4"/>
  <c r="I17" i="4"/>
  <c r="I33" i="4" s="1"/>
  <c r="T34" i="1"/>
  <c r="T33" i="1"/>
  <c r="T35" i="1"/>
  <c r="T36" i="1" s="1"/>
  <c r="T37" i="1" s="1"/>
  <c r="I17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17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T18" i="1"/>
  <c r="I18" i="1"/>
  <c r="I34" i="5" l="1"/>
  <c r="I35" i="5" s="1"/>
  <c r="I34" i="4"/>
  <c r="I35" i="4" s="1"/>
  <c r="T36" i="4"/>
  <c r="T37" i="4" s="1"/>
  <c r="I33" i="1"/>
  <c r="I34" i="1" s="1"/>
  <c r="I35" i="1" s="1"/>
</calcChain>
</file>

<file path=xl/sharedStrings.xml><?xml version="1.0" encoding="utf-8"?>
<sst xmlns="http://schemas.openxmlformats.org/spreadsheetml/2006/main" count="135" uniqueCount="38">
  <si>
    <t>御中</t>
    <rPh sb="0" eb="2">
      <t>オンチュウ</t>
    </rPh>
    <phoneticPr fontId="2"/>
  </si>
  <si>
    <t>請求書</t>
    <rPh sb="0" eb="3">
      <t>セイキュウショ</t>
    </rPh>
    <phoneticPr fontId="2"/>
  </si>
  <si>
    <t>登録番号</t>
    <rPh sb="0" eb="4">
      <t>トウロクバンゴウ</t>
    </rPh>
    <phoneticPr fontId="2"/>
  </si>
  <si>
    <t>T2180301030949</t>
  </si>
  <si>
    <t>工事名</t>
    <phoneticPr fontId="2"/>
  </si>
  <si>
    <t>日付：</t>
    <rPh sb="0" eb="1">
      <t>ニチ</t>
    </rPh>
    <rPh sb="1" eb="2">
      <t>ツ</t>
    </rPh>
    <phoneticPr fontId="2"/>
  </si>
  <si>
    <t>　　　</t>
    <phoneticPr fontId="2"/>
  </si>
  <si>
    <t>金融機関名：</t>
    <rPh sb="0" eb="2">
      <t>キンユウ</t>
    </rPh>
    <rPh sb="2" eb="4">
      <t>キカン</t>
    </rPh>
    <rPh sb="4" eb="5">
      <t>メイ</t>
    </rPh>
    <phoneticPr fontId="2"/>
  </si>
  <si>
    <t>豊橋信用金庫</t>
    <rPh sb="0" eb="2">
      <t>トヨハシ</t>
    </rPh>
    <rPh sb="2" eb="4">
      <t>シンヨウ</t>
    </rPh>
    <rPh sb="4" eb="6">
      <t>キンコ</t>
    </rPh>
    <phoneticPr fontId="2"/>
  </si>
  <si>
    <t>支店名　：</t>
    <rPh sb="0" eb="3">
      <t>シテンメイ</t>
    </rPh>
    <phoneticPr fontId="2"/>
  </si>
  <si>
    <t>牛川支店・普通</t>
    <rPh sb="0" eb="1">
      <t>ウシ</t>
    </rPh>
    <rPh sb="1" eb="2">
      <t>カワ</t>
    </rPh>
    <rPh sb="2" eb="4">
      <t>シテン</t>
    </rPh>
    <rPh sb="5" eb="7">
      <t>フツウ</t>
    </rPh>
    <phoneticPr fontId="2"/>
  </si>
  <si>
    <t>口座名義：</t>
    <rPh sb="0" eb="2">
      <t>コウザ</t>
    </rPh>
    <rPh sb="2" eb="4">
      <t>メイギ</t>
    </rPh>
    <phoneticPr fontId="2"/>
  </si>
  <si>
    <t>株式会社　柚喜</t>
    <rPh sb="0" eb="2">
      <t>カブシキ</t>
    </rPh>
    <rPh sb="2" eb="4">
      <t>カイシャ</t>
    </rPh>
    <rPh sb="5" eb="6">
      <t>ユウ</t>
    </rPh>
    <rPh sb="6" eb="7">
      <t>ヨロシ</t>
    </rPh>
    <phoneticPr fontId="2"/>
  </si>
  <si>
    <t>　　　　　　　　　代表取締役　藤澤　淳</t>
    <rPh sb="9" eb="11">
      <t>ダイヒョウ</t>
    </rPh>
    <rPh sb="11" eb="14">
      <t>トリシマリヤク</t>
    </rPh>
    <rPh sb="15" eb="17">
      <t>フジサワ</t>
    </rPh>
    <rPh sb="18" eb="19">
      <t>ジュン</t>
    </rPh>
    <phoneticPr fontId="2"/>
  </si>
  <si>
    <t>口座番号：</t>
    <rPh sb="0" eb="2">
      <t>コウザ</t>
    </rPh>
    <rPh sb="2" eb="4">
      <t>バンゴウ</t>
    </rPh>
    <phoneticPr fontId="2"/>
  </si>
  <si>
    <t>品名・内容</t>
    <rPh sb="0" eb="2">
      <t>ヒンメイ</t>
    </rPh>
    <rPh sb="3" eb="5">
      <t>ナイヨウ</t>
    </rPh>
    <phoneticPr fontId="2"/>
  </si>
  <si>
    <t>日付</t>
    <rPh sb="0" eb="2">
      <t>ヒヅケ</t>
    </rPh>
    <phoneticPr fontId="2"/>
  </si>
  <si>
    <t>数量</t>
    <rPh sb="0" eb="2">
      <t>スウリョウ</t>
    </rPh>
    <phoneticPr fontId="2"/>
  </si>
  <si>
    <t>単位</t>
    <rPh sb="0" eb="2">
      <t>タンイ</t>
    </rPh>
    <phoneticPr fontId="2"/>
  </si>
  <si>
    <t>単価</t>
    <rPh sb="0" eb="2">
      <t>タンカ</t>
    </rPh>
    <phoneticPr fontId="2"/>
  </si>
  <si>
    <t>金額</t>
    <rPh sb="0" eb="2">
      <t>キンガク</t>
    </rPh>
    <phoneticPr fontId="2"/>
  </si>
  <si>
    <t>小計</t>
    <rPh sb="0" eb="2">
      <t>ショウケイ</t>
    </rPh>
    <phoneticPr fontId="2"/>
  </si>
  <si>
    <t>消費税10％</t>
    <rPh sb="0" eb="3">
      <t>ショウヒゼイ</t>
    </rPh>
    <phoneticPr fontId="2"/>
  </si>
  <si>
    <t>合計</t>
    <rPh sb="0" eb="2">
      <t>ゴウケイ</t>
    </rPh>
    <phoneticPr fontId="2"/>
  </si>
  <si>
    <t>今後ともよろしくお願い申し上げます。</t>
    <rPh sb="0" eb="2">
      <t>コンゴ</t>
    </rPh>
    <rPh sb="9" eb="10">
      <t>ネガ</t>
    </rPh>
    <rPh sb="11" eb="12">
      <t>モウ</t>
    </rPh>
    <rPh sb="13" eb="14">
      <t>ア</t>
    </rPh>
    <phoneticPr fontId="2"/>
  </si>
  <si>
    <t>　　　</t>
    <phoneticPr fontId="2"/>
  </si>
  <si>
    <t>　　　　　　　　　　　　　　　　　　　　　　　　　　　　　　　　　　　　　　　　　　　　　　</t>
    <phoneticPr fontId="2"/>
  </si>
  <si>
    <t>年</t>
    <rPh sb="0" eb="1">
      <t>ネン</t>
    </rPh>
    <phoneticPr fontId="2"/>
  </si>
  <si>
    <t>月　日〆</t>
    <rPh sb="0" eb="1">
      <t>ガツ</t>
    </rPh>
    <rPh sb="2" eb="3">
      <t>ニチ</t>
    </rPh>
    <phoneticPr fontId="2"/>
  </si>
  <si>
    <t>請求書兼明細書</t>
    <rPh sb="0" eb="3">
      <t>セイキュウショ</t>
    </rPh>
    <rPh sb="3" eb="7">
      <t>ケンメイサイショ</t>
    </rPh>
    <phoneticPr fontId="2"/>
  </si>
  <si>
    <t>清掃工事</t>
    <rPh sb="2" eb="4">
      <t>コウジ</t>
    </rPh>
    <phoneticPr fontId="2"/>
  </si>
  <si>
    <t>清掃工事</t>
    <rPh sb="0" eb="4">
      <t>セイソウコウジ</t>
    </rPh>
    <phoneticPr fontId="2"/>
  </si>
  <si>
    <t>サンエイ株式会社</t>
    <rPh sb="4" eb="8">
      <t>カブシキガイシャ</t>
    </rPh>
    <phoneticPr fontId="2"/>
  </si>
  <si>
    <t>営統事業部</t>
    <rPh sb="0" eb="5">
      <t>エイトウジギョウブ</t>
    </rPh>
    <phoneticPr fontId="2"/>
  </si>
  <si>
    <t>建設課</t>
    <rPh sb="0" eb="3">
      <t>ケンセツカ</t>
    </rPh>
    <phoneticPr fontId="2"/>
  </si>
  <si>
    <t>請求明細書</t>
    <rPh sb="0" eb="2">
      <t>セイキュウ</t>
    </rPh>
    <rPh sb="2" eb="5">
      <t>メイサイショ</t>
    </rPh>
    <phoneticPr fontId="2"/>
  </si>
  <si>
    <t>清掃応援工事</t>
    <rPh sb="0" eb="2">
      <t>セイソウ</t>
    </rPh>
    <rPh sb="2" eb="4">
      <t>オウエン</t>
    </rPh>
    <rPh sb="4" eb="6">
      <t>コウジ</t>
    </rPh>
    <phoneticPr fontId="2"/>
  </si>
  <si>
    <t>清掃応援工事</t>
    <rPh sb="2" eb="4">
      <t>オウエン</t>
    </rPh>
    <rPh sb="4" eb="6">
      <t>コウジ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</si>
</sst>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0372785&quot;"/>
    <numFmt numFmtId="177" formatCode="m/d;@"/>
  </numFmts>
  <fonts count="17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20"/>
      <color theme="1"/>
      <name val="HGP明朝E"/>
      <family val="1"/>
      <charset val="128"/>
    </font>
    <font>
      <sz val="14"/>
      <color theme="1"/>
      <name val="HGP明朝E"/>
      <family val="1"/>
      <charset val="128"/>
    </font>
    <font>
      <sz val="22"/>
      <color theme="1"/>
      <name val="HGP明朝E"/>
      <family val="1"/>
      <charset val="128"/>
    </font>
    <font>
      <i/>
      <sz val="11"/>
      <color theme="1"/>
      <name val="HGSｺﾞｼｯｸM"/>
      <family val="3"/>
      <charset val="128"/>
    </font>
    <font>
      <sz val="12"/>
      <color theme="1"/>
      <name val="HGS平成明朝体W3"/>
      <family val="1"/>
      <charset val="128"/>
    </font>
    <font>
      <b/>
      <sz val="10"/>
      <color theme="1"/>
      <name val="ＭＳ Ｐゴシック"/>
      <family val="3"/>
      <charset val="128"/>
      <scheme val="minor"/>
    </font>
    <font>
      <sz val="10"/>
      <color theme="1"/>
      <name val="ＭＳ Ｐゴシック"/>
      <family val="3"/>
      <charset val="128"/>
      <scheme val="minor"/>
    </font>
    <font>
      <sz val="14"/>
      <color theme="1"/>
      <name val="ＭＳ Ｐゴシック"/>
      <family val="2"/>
      <charset val="128"/>
      <scheme val="minor"/>
    </font>
    <font>
      <u/>
      <sz val="11"/>
      <color theme="10"/>
      <name val="ＭＳ Ｐゴシック"/>
      <family val="2"/>
      <charset val="128"/>
      <scheme val="minor"/>
    </font>
    <font>
      <b/>
      <sz val="12"/>
      <color theme="1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6"/>
      <color theme="1"/>
      <name val="HGPｺﾞｼｯｸE"/>
      <family val="3"/>
      <charset val="128"/>
    </font>
    <font>
      <sz val="12"/>
      <color theme="1"/>
      <name val="HGP明朝E"/>
      <family val="1"/>
      <charset val="128"/>
    </font>
    <font>
      <sz val="11"/>
      <color theme="1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</borders>
  <cellStyleXfs count="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0" fontId="4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1" fillId="0" borderId="0" xfId="2">
      <alignment vertical="center"/>
    </xf>
    <xf numFmtId="0" fontId="12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3" fontId="0" fillId="0" borderId="8" xfId="0" applyNumberFormat="1" applyBorder="1">
      <alignment vertical="center"/>
    </xf>
    <xf numFmtId="38" fontId="0" fillId="0" borderId="8" xfId="1" applyFont="1" applyBorder="1">
      <alignment vertical="center"/>
    </xf>
    <xf numFmtId="0" fontId="0" fillId="0" borderId="8" xfId="0" applyBorder="1">
      <alignment vertical="center"/>
    </xf>
    <xf numFmtId="0" fontId="14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38" fontId="13" fillId="0" borderId="8" xfId="0" applyNumberFormat="1" applyFont="1" applyBorder="1" applyAlignment="1">
      <alignment horizontal="right" vertical="center"/>
    </xf>
    <xf numFmtId="0" fontId="13" fillId="0" borderId="8" xfId="0" applyFont="1" applyBorder="1" applyAlignment="1">
      <alignment horizontal="right" vertical="center"/>
    </xf>
    <xf numFmtId="0" fontId="13" fillId="0" borderId="9" xfId="0" applyFont="1" applyBorder="1" applyAlignment="1">
      <alignment horizontal="right" vertical="center"/>
    </xf>
    <xf numFmtId="176" fontId="10" fillId="0" borderId="0" xfId="1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3" fillId="0" borderId="7" xfId="0" applyFont="1" applyBorder="1" applyAlignment="1">
      <alignment horizontal="right" vertical="center"/>
    </xf>
    <xf numFmtId="0" fontId="13" fillId="0" borderId="10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3" fontId="13" fillId="0" borderId="8" xfId="0" applyNumberFormat="1" applyFont="1" applyBorder="1" applyAlignment="1">
      <alignment horizontal="right" vertical="center"/>
    </xf>
    <xf numFmtId="0" fontId="13" fillId="0" borderId="13" xfId="0" applyFont="1" applyBorder="1" applyAlignment="1">
      <alignment horizontal="right" vertical="center"/>
    </xf>
    <xf numFmtId="0" fontId="13" fillId="0" borderId="14" xfId="0" applyFont="1" applyBorder="1" applyAlignment="1">
      <alignment horizontal="right" vertical="center"/>
    </xf>
    <xf numFmtId="38" fontId="13" fillId="0" borderId="15" xfId="0" applyNumberFormat="1" applyFont="1" applyBorder="1" applyAlignment="1">
      <alignment horizontal="right" vertical="center"/>
    </xf>
    <xf numFmtId="0" fontId="13" fillId="0" borderId="16" xfId="0" applyFont="1" applyBorder="1" applyAlignment="1">
      <alignment horizontal="right" vertical="center"/>
    </xf>
    <xf numFmtId="0" fontId="13" fillId="0" borderId="17" xfId="0" applyFont="1" applyBorder="1" applyAlignment="1">
      <alignment horizontal="right" vertical="center"/>
    </xf>
    <xf numFmtId="177" fontId="0" fillId="0" borderId="8" xfId="0" applyNumberFormat="1" applyFont="1" applyBorder="1" applyAlignment="1">
      <alignment horizontal="center" vertical="center"/>
    </xf>
    <xf numFmtId="177" fontId="0" fillId="0" borderId="8" xfId="0" applyNumberFormat="1" applyFont="1" applyBorder="1">
      <alignment vertical="center"/>
    </xf>
    <xf numFmtId="0" fontId="0" fillId="0" borderId="8" xfId="0" applyFont="1" applyBorder="1" applyAlignment="1">
      <alignment horizontal="center" vertical="center"/>
    </xf>
    <xf numFmtId="0" fontId="0" fillId="0" borderId="8" xfId="0" applyFont="1" applyBorder="1">
      <alignment vertical="center"/>
    </xf>
    <xf numFmtId="0" fontId="16" fillId="0" borderId="7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3" fontId="0" fillId="0" borderId="8" xfId="0" applyNumberFormat="1" applyFont="1" applyBorder="1">
      <alignment vertical="center"/>
    </xf>
    <xf numFmtId="0" fontId="15" fillId="0" borderId="0" xfId="0" applyFont="1" applyAlignment="1">
      <alignment horizontal="center" vertical="center"/>
    </xf>
  </cellXfs>
  <cellStyles count="3">
    <cellStyle name="ハイパーリンク" xfId="2" builtinId="8"/>
    <cellStyle name="桁区切り" xfId="1" builtinId="6"/>
    <cellStyle name="標準" xfId="0" builtinId="0"/>
  </cellStyles>
  <dxfs count="7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314325</xdr:colOff>
      <xdr:row>7</xdr:row>
      <xdr:rowOff>9525</xdr:rowOff>
    </xdr:from>
    <xdr:ext cx="184731" cy="264560"/>
    <xdr:sp macro="" textlink="">
      <xdr:nvSpPr>
        <xdr:cNvPr id="74" name="テキスト ボックス 73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 txBox="1"/>
      </xdr:nvSpPr>
      <xdr:spPr>
        <a:xfrm>
          <a:off x="1943100" y="202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0</xdr:col>
      <xdr:colOff>1</xdr:colOff>
      <xdr:row>8</xdr:row>
      <xdr:rowOff>66675</xdr:rowOff>
    </xdr:from>
    <xdr:to>
      <xdr:col>6</xdr:col>
      <xdr:colOff>495299</xdr:colOff>
      <xdr:row>11</xdr:row>
      <xdr:rowOff>168041</xdr:rowOff>
    </xdr:to>
    <xdr:grpSp>
      <xdr:nvGrpSpPr>
        <xdr:cNvPr id="75" name="グループ化 74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GrpSpPr/>
      </xdr:nvGrpSpPr>
      <xdr:grpSpPr>
        <a:xfrm>
          <a:off x="1" y="2270125"/>
          <a:ext cx="3721098" cy="1034816"/>
          <a:chOff x="0" y="2409825"/>
          <a:chExt cx="3889237" cy="1130066"/>
        </a:xfrm>
      </xdr:grpSpPr>
      <xdr:sp macro="" textlink="">
        <xdr:nvSpPr>
          <xdr:cNvPr id="76" name="テキスト ボックス 75">
            <a:extLst>
              <a:ext uri="{FF2B5EF4-FFF2-40B4-BE49-F238E27FC236}">
                <a16:creationId xmlns:a16="http://schemas.microsoft.com/office/drawing/2014/main" id="{00000000-0008-0000-0000-00004C000000}"/>
              </a:ext>
            </a:extLst>
          </xdr:cNvPr>
          <xdr:cNvSpPr txBox="1">
            <a:spLocks noChangeAspect="1"/>
          </xdr:cNvSpPr>
        </xdr:nvSpPr>
        <xdr:spPr>
          <a:xfrm>
            <a:off x="0" y="3248025"/>
            <a:ext cx="3813603" cy="29186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108000" tIns="36000" rIns="900000" bIns="36000" numCol="1" spcCol="180000" rtlCol="0" anchor="t">
            <a:spAutoFit/>
          </a:bodyPr>
          <a:lstStyle/>
          <a:p>
            <a:pPr algn="l"/>
            <a:r>
              <a:rPr kumimoji="1" lang="en-US" altLang="ja-JP" sz="1400" b="1"/>
              <a:t>E-MALL:</a:t>
            </a:r>
            <a:r>
              <a:rPr kumimoji="1" lang="en-US" altLang="ja-JP" sz="1400" b="1" baseline="0"/>
              <a:t>  </a:t>
            </a:r>
            <a:r>
              <a:rPr kumimoji="1" lang="en-US" altLang="ja-JP" sz="1400" b="1"/>
              <a:t>cs-yuzuki0109@cd5.so-net.ne.jp</a:t>
            </a:r>
            <a:endParaRPr kumimoji="1" lang="ja-JP" altLang="en-US" sz="1400" b="1"/>
          </a:p>
        </xdr:txBody>
      </xdr:sp>
      <xdr:sp macro="" textlink="">
        <xdr:nvSpPr>
          <xdr:cNvPr id="77" name="テキスト ボックス 76">
            <a:extLst>
              <a:ext uri="{FF2B5EF4-FFF2-40B4-BE49-F238E27FC236}">
                <a16:creationId xmlns:a16="http://schemas.microsoft.com/office/drawing/2014/main" id="{00000000-0008-0000-0000-00004D000000}"/>
              </a:ext>
            </a:extLst>
          </xdr:cNvPr>
          <xdr:cNvSpPr txBox="1">
            <a:spLocks noChangeAspect="1"/>
          </xdr:cNvSpPr>
        </xdr:nvSpPr>
        <xdr:spPr>
          <a:xfrm>
            <a:off x="238231" y="2409825"/>
            <a:ext cx="3651006" cy="2728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108000" tIns="36000" rIns="900000" bIns="36000" numCol="1" spcCol="180000" rtlCol="0" anchor="t">
            <a:spAutoFit/>
          </a:bodyPr>
          <a:lstStyle/>
          <a:p>
            <a:pPr marL="0" lvl="0" indent="0" algn="l">
              <a:spcBef>
                <a:spcPts val="0"/>
              </a:spcBef>
              <a:buFont typeface="Arial" panose="020B0604020202020204" pitchFamily="34" charset="0"/>
              <a:buNone/>
            </a:pPr>
            <a:r>
              <a:rPr kumimoji="1" lang="ja-JP" altLang="en-US" sz="1200" b="1" baseline="0"/>
              <a:t>住所：　愛知県豊橋市東森岡　</a:t>
            </a:r>
            <a:r>
              <a:rPr kumimoji="1" lang="en-US" altLang="ja-JP" sz="1200" b="1" baseline="0"/>
              <a:t>1-7-13</a:t>
            </a:r>
            <a:endParaRPr kumimoji="1" lang="ja-JP" altLang="en-US" sz="1200" b="1"/>
          </a:p>
        </xdr:txBody>
      </xdr:sp>
      <xdr:sp macro="" textlink="">
        <xdr:nvSpPr>
          <xdr:cNvPr id="78" name="テキスト ボックス 77">
            <a:extLst>
              <a:ext uri="{FF2B5EF4-FFF2-40B4-BE49-F238E27FC236}">
                <a16:creationId xmlns:a16="http://schemas.microsoft.com/office/drawing/2014/main" id="{00000000-0008-0000-0000-00004E000000}"/>
              </a:ext>
            </a:extLst>
          </xdr:cNvPr>
          <xdr:cNvSpPr txBox="1">
            <a:spLocks noChangeAspect="1"/>
          </xdr:cNvSpPr>
        </xdr:nvSpPr>
        <xdr:spPr>
          <a:xfrm>
            <a:off x="276225" y="2638425"/>
            <a:ext cx="2592721" cy="339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108000" tIns="36000" rIns="900000" bIns="36000" numCol="1" spcCol="180000" rtlCol="0" anchor="t">
            <a:spAutoFit/>
          </a:bodyPr>
          <a:lstStyle/>
          <a:p>
            <a:pPr algn="l"/>
            <a:r>
              <a:rPr kumimoji="1" lang="en-US" altLang="ja-JP" sz="1600" b="1"/>
              <a:t>TEL:</a:t>
            </a:r>
            <a:r>
              <a:rPr kumimoji="1" lang="ja-JP" altLang="en-US" sz="1600" b="1"/>
              <a:t>　　</a:t>
            </a:r>
            <a:r>
              <a:rPr kumimoji="1" lang="en-US" altLang="ja-JP" sz="1600" b="1"/>
              <a:t>0532-88-7770</a:t>
            </a:r>
            <a:endParaRPr kumimoji="1" lang="ja-JP" altLang="en-US" sz="1600" b="1"/>
          </a:p>
        </xdr:txBody>
      </xdr:sp>
      <xdr:sp macro="" textlink="">
        <xdr:nvSpPr>
          <xdr:cNvPr id="79" name="テキスト ボックス 78">
            <a:extLst>
              <a:ext uri="{FF2B5EF4-FFF2-40B4-BE49-F238E27FC236}">
                <a16:creationId xmlns:a16="http://schemas.microsoft.com/office/drawing/2014/main" id="{00000000-0008-0000-0000-00004F000000}"/>
              </a:ext>
            </a:extLst>
          </xdr:cNvPr>
          <xdr:cNvSpPr txBox="1">
            <a:spLocks noChangeAspect="1"/>
          </xdr:cNvSpPr>
        </xdr:nvSpPr>
        <xdr:spPr>
          <a:xfrm>
            <a:off x="228600" y="2952750"/>
            <a:ext cx="2760186" cy="339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108000" tIns="36000" rIns="900000" bIns="36000" numCol="1" spcCol="180000" rtlCol="0" anchor="t">
            <a:spAutoFit/>
          </a:bodyPr>
          <a:lstStyle/>
          <a:p>
            <a:pPr algn="l"/>
            <a:r>
              <a:rPr kumimoji="1" lang="en-US" altLang="ja-JP" sz="1600" b="1"/>
              <a:t>FAX:</a:t>
            </a:r>
            <a:r>
              <a:rPr kumimoji="1" lang="ja-JP" altLang="en-US" sz="1600" b="1"/>
              <a:t>　　</a:t>
            </a:r>
            <a:r>
              <a:rPr kumimoji="1" lang="en-US" altLang="ja-JP" sz="1600" b="1"/>
              <a:t>0532-88-4591</a:t>
            </a:r>
            <a:endParaRPr kumimoji="1" lang="ja-JP" altLang="en-US" sz="1600" b="1"/>
          </a:p>
        </xdr:txBody>
      </xdr:sp>
    </xdr:grpSp>
    <xdr:clientData/>
  </xdr:twoCellAnchor>
  <xdr:twoCellAnchor>
    <xdr:from>
      <xdr:col>6</xdr:col>
      <xdr:colOff>209550</xdr:colOff>
      <xdr:row>11</xdr:row>
      <xdr:rowOff>219075</xdr:rowOff>
    </xdr:from>
    <xdr:to>
      <xdr:col>7</xdr:col>
      <xdr:colOff>457200</xdr:colOff>
      <xdr:row>12</xdr:row>
      <xdr:rowOff>247651</xdr:rowOff>
    </xdr:to>
    <xdr:sp macro="" textlink="">
      <xdr:nvSpPr>
        <xdr:cNvPr id="80" name="テキスト ボックス 79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SpPr txBox="1"/>
      </xdr:nvSpPr>
      <xdr:spPr>
        <a:xfrm>
          <a:off x="3838575" y="3495675"/>
          <a:ext cx="752475" cy="3429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kumimoji="1" lang="ja-JP" altLang="en-US" sz="1400" b="0"/>
        </a:p>
      </xdr:txBody>
    </xdr:sp>
    <xdr:clientData/>
  </xdr:twoCellAnchor>
  <xdr:oneCellAnchor>
    <xdr:from>
      <xdr:col>14</xdr:col>
      <xdr:colOff>314325</xdr:colOff>
      <xdr:row>7</xdr:row>
      <xdr:rowOff>9525</xdr:rowOff>
    </xdr:from>
    <xdr:ext cx="184731" cy="264560"/>
    <xdr:sp macro="" textlink="">
      <xdr:nvSpPr>
        <xdr:cNvPr id="81" name="テキスト ボックス 80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SpPr txBox="1"/>
      </xdr:nvSpPr>
      <xdr:spPr>
        <a:xfrm>
          <a:off x="8696325" y="202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11</xdr:col>
      <xdr:colOff>1</xdr:colOff>
      <xdr:row>8</xdr:row>
      <xdr:rowOff>66675</xdr:rowOff>
    </xdr:from>
    <xdr:to>
      <xdr:col>17</xdr:col>
      <xdr:colOff>495299</xdr:colOff>
      <xdr:row>11</xdr:row>
      <xdr:rowOff>168041</xdr:rowOff>
    </xdr:to>
    <xdr:grpSp>
      <xdr:nvGrpSpPr>
        <xdr:cNvPr id="82" name="グループ化 81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GrpSpPr/>
      </xdr:nvGrpSpPr>
      <xdr:grpSpPr>
        <a:xfrm>
          <a:off x="5975351" y="2270125"/>
          <a:ext cx="3916678" cy="1034816"/>
          <a:chOff x="0" y="2409825"/>
          <a:chExt cx="3889237" cy="1130066"/>
        </a:xfrm>
      </xdr:grpSpPr>
      <xdr:sp macro="" textlink="">
        <xdr:nvSpPr>
          <xdr:cNvPr id="83" name="テキスト ボックス 82">
            <a:extLst>
              <a:ext uri="{FF2B5EF4-FFF2-40B4-BE49-F238E27FC236}">
                <a16:creationId xmlns:a16="http://schemas.microsoft.com/office/drawing/2014/main" id="{00000000-0008-0000-0000-000053000000}"/>
              </a:ext>
            </a:extLst>
          </xdr:cNvPr>
          <xdr:cNvSpPr txBox="1">
            <a:spLocks noChangeAspect="1"/>
          </xdr:cNvSpPr>
        </xdr:nvSpPr>
        <xdr:spPr>
          <a:xfrm>
            <a:off x="0" y="3248025"/>
            <a:ext cx="3813603" cy="29186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108000" tIns="36000" rIns="900000" bIns="36000" numCol="1" spcCol="180000" rtlCol="0" anchor="t">
            <a:spAutoFit/>
          </a:bodyPr>
          <a:lstStyle/>
          <a:p>
            <a:pPr algn="l"/>
            <a:r>
              <a:rPr kumimoji="1" lang="en-US" altLang="ja-JP" sz="1400" b="1"/>
              <a:t>E-MALL:</a:t>
            </a:r>
            <a:r>
              <a:rPr kumimoji="1" lang="en-US" altLang="ja-JP" sz="1400" b="1" baseline="0"/>
              <a:t>  </a:t>
            </a:r>
            <a:r>
              <a:rPr kumimoji="1" lang="en-US" altLang="ja-JP" sz="1400" b="1"/>
              <a:t>cs-yuzuki0109@cd5.so-net.ne.jp</a:t>
            </a:r>
            <a:endParaRPr kumimoji="1" lang="ja-JP" altLang="en-US" sz="1400" b="1"/>
          </a:p>
        </xdr:txBody>
      </xdr:sp>
      <xdr:sp macro="" textlink="">
        <xdr:nvSpPr>
          <xdr:cNvPr id="84" name="テキスト ボックス 83">
            <a:extLst>
              <a:ext uri="{FF2B5EF4-FFF2-40B4-BE49-F238E27FC236}">
                <a16:creationId xmlns:a16="http://schemas.microsoft.com/office/drawing/2014/main" id="{00000000-0008-0000-0000-000054000000}"/>
              </a:ext>
            </a:extLst>
          </xdr:cNvPr>
          <xdr:cNvSpPr txBox="1">
            <a:spLocks noChangeAspect="1"/>
          </xdr:cNvSpPr>
        </xdr:nvSpPr>
        <xdr:spPr>
          <a:xfrm>
            <a:off x="238231" y="2409825"/>
            <a:ext cx="3651006" cy="2728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108000" tIns="36000" rIns="900000" bIns="36000" numCol="1" spcCol="180000" rtlCol="0" anchor="t">
            <a:spAutoFit/>
          </a:bodyPr>
          <a:lstStyle/>
          <a:p>
            <a:pPr marL="0" lvl="0" indent="0" algn="l">
              <a:spcBef>
                <a:spcPts val="0"/>
              </a:spcBef>
              <a:buFont typeface="Arial" panose="020B0604020202020204" pitchFamily="34" charset="0"/>
              <a:buNone/>
            </a:pPr>
            <a:r>
              <a:rPr kumimoji="1" lang="ja-JP" altLang="en-US" sz="1200" b="1" baseline="0"/>
              <a:t>住所：　愛知県豊橋市東森岡　</a:t>
            </a:r>
            <a:r>
              <a:rPr kumimoji="1" lang="en-US" altLang="ja-JP" sz="1200" b="1" baseline="0"/>
              <a:t>1-7-13</a:t>
            </a:r>
            <a:endParaRPr kumimoji="1" lang="ja-JP" altLang="en-US" sz="1200" b="1"/>
          </a:p>
        </xdr:txBody>
      </xdr:sp>
      <xdr:sp macro="" textlink="">
        <xdr:nvSpPr>
          <xdr:cNvPr id="85" name="テキスト ボックス 84">
            <a:extLst>
              <a:ext uri="{FF2B5EF4-FFF2-40B4-BE49-F238E27FC236}">
                <a16:creationId xmlns:a16="http://schemas.microsoft.com/office/drawing/2014/main" id="{00000000-0008-0000-0000-000055000000}"/>
              </a:ext>
            </a:extLst>
          </xdr:cNvPr>
          <xdr:cNvSpPr txBox="1">
            <a:spLocks noChangeAspect="1"/>
          </xdr:cNvSpPr>
        </xdr:nvSpPr>
        <xdr:spPr>
          <a:xfrm>
            <a:off x="276225" y="2638425"/>
            <a:ext cx="2592721" cy="339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108000" tIns="36000" rIns="900000" bIns="36000" numCol="1" spcCol="180000" rtlCol="0" anchor="t">
            <a:spAutoFit/>
          </a:bodyPr>
          <a:lstStyle/>
          <a:p>
            <a:pPr algn="l"/>
            <a:r>
              <a:rPr kumimoji="1" lang="en-US" altLang="ja-JP" sz="1600" b="1"/>
              <a:t>TEL:</a:t>
            </a:r>
            <a:r>
              <a:rPr kumimoji="1" lang="ja-JP" altLang="en-US" sz="1600" b="1"/>
              <a:t>　　</a:t>
            </a:r>
            <a:r>
              <a:rPr kumimoji="1" lang="en-US" altLang="ja-JP" sz="1600" b="1"/>
              <a:t>0532-88-7770</a:t>
            </a:r>
            <a:endParaRPr kumimoji="1" lang="ja-JP" altLang="en-US" sz="1600" b="1"/>
          </a:p>
        </xdr:txBody>
      </xdr:sp>
      <xdr:sp macro="" textlink="">
        <xdr:nvSpPr>
          <xdr:cNvPr id="86" name="テキスト ボックス 85">
            <a:extLst>
              <a:ext uri="{FF2B5EF4-FFF2-40B4-BE49-F238E27FC236}">
                <a16:creationId xmlns:a16="http://schemas.microsoft.com/office/drawing/2014/main" id="{00000000-0008-0000-0000-000056000000}"/>
              </a:ext>
            </a:extLst>
          </xdr:cNvPr>
          <xdr:cNvSpPr txBox="1">
            <a:spLocks noChangeAspect="1"/>
          </xdr:cNvSpPr>
        </xdr:nvSpPr>
        <xdr:spPr>
          <a:xfrm>
            <a:off x="228600" y="2952750"/>
            <a:ext cx="2760186" cy="339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108000" tIns="36000" rIns="900000" bIns="36000" numCol="1" spcCol="180000" rtlCol="0" anchor="t">
            <a:spAutoFit/>
          </a:bodyPr>
          <a:lstStyle/>
          <a:p>
            <a:pPr algn="l"/>
            <a:r>
              <a:rPr kumimoji="1" lang="en-US" altLang="ja-JP" sz="1600" b="1"/>
              <a:t>FAX:</a:t>
            </a:r>
            <a:r>
              <a:rPr kumimoji="1" lang="ja-JP" altLang="en-US" sz="1600" b="1"/>
              <a:t>　　</a:t>
            </a:r>
            <a:r>
              <a:rPr kumimoji="1" lang="en-US" altLang="ja-JP" sz="1600" b="1"/>
              <a:t>0532-88-4591</a:t>
            </a:r>
            <a:endParaRPr kumimoji="1" lang="ja-JP" altLang="en-US" sz="1600" b="1"/>
          </a:p>
        </xdr:txBody>
      </xdr:sp>
    </xdr:grpSp>
    <xdr:clientData/>
  </xdr:twoCellAnchor>
  <xdr:twoCellAnchor>
    <xdr:from>
      <xdr:col>17</xdr:col>
      <xdr:colOff>209550</xdr:colOff>
      <xdr:row>11</xdr:row>
      <xdr:rowOff>219075</xdr:rowOff>
    </xdr:from>
    <xdr:to>
      <xdr:col>18</xdr:col>
      <xdr:colOff>457200</xdr:colOff>
      <xdr:row>12</xdr:row>
      <xdr:rowOff>247651</xdr:rowOff>
    </xdr:to>
    <xdr:sp macro="" textlink="">
      <xdr:nvSpPr>
        <xdr:cNvPr id="87" name="テキスト ボックス 86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SpPr txBox="1"/>
      </xdr:nvSpPr>
      <xdr:spPr>
        <a:xfrm>
          <a:off x="10639425" y="3495675"/>
          <a:ext cx="790575" cy="3429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kumimoji="1" lang="ja-JP" altLang="en-US" sz="1400" b="0"/>
        </a:p>
      </xdr:txBody>
    </xdr:sp>
    <xdr:clientData/>
  </xdr:twoCellAnchor>
  <xdr:twoCellAnchor>
    <xdr:from>
      <xdr:col>0</xdr:col>
      <xdr:colOff>0</xdr:colOff>
      <xdr:row>4</xdr:row>
      <xdr:rowOff>85725</xdr:rowOff>
    </xdr:from>
    <xdr:to>
      <xdr:col>3</xdr:col>
      <xdr:colOff>352425</xdr:colOff>
      <xdr:row>5</xdr:row>
      <xdr:rowOff>228600</xdr:rowOff>
    </xdr:to>
    <xdr:sp macro="" textlink="">
      <xdr:nvSpPr>
        <xdr:cNvPr id="88" name="テキスト ボックス 87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SpPr txBox="1"/>
      </xdr:nvSpPr>
      <xdr:spPr>
        <a:xfrm>
          <a:off x="0" y="1362075"/>
          <a:ext cx="1981200" cy="3905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600" i="1">
              <a:latin typeface="HGP明朝B" panose="02020800000000000000" pitchFamily="18" charset="-128"/>
              <a:ea typeface="HGP明朝B" panose="02020800000000000000" pitchFamily="18" charset="-128"/>
            </a:rPr>
            <a:t>株式会社　　　柚喜</a:t>
          </a:r>
          <a:r>
            <a:rPr kumimoji="1" lang="ja-JP" altLang="en-US" sz="1800">
              <a:latin typeface="HGP明朝B" panose="02020800000000000000" pitchFamily="18" charset="-128"/>
              <a:ea typeface="HGP明朝B" panose="02020800000000000000" pitchFamily="18" charset="-128"/>
            </a:rPr>
            <a:t>　</a:t>
          </a:r>
          <a:r>
            <a:rPr kumimoji="1" lang="ja-JP" altLang="en-US" sz="1100"/>
            <a:t>　</a:t>
          </a:r>
        </a:p>
      </xdr:txBody>
    </xdr:sp>
    <xdr:clientData/>
  </xdr:twoCellAnchor>
  <xdr:oneCellAnchor>
    <xdr:from>
      <xdr:col>14</xdr:col>
      <xdr:colOff>314325</xdr:colOff>
      <xdr:row>7</xdr:row>
      <xdr:rowOff>9525</xdr:rowOff>
    </xdr:from>
    <xdr:ext cx="184731" cy="264560"/>
    <xdr:sp macro="" textlink="">
      <xdr:nvSpPr>
        <xdr:cNvPr id="89" name="テキスト ボックス 88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SpPr txBox="1"/>
      </xdr:nvSpPr>
      <xdr:spPr>
        <a:xfrm>
          <a:off x="8696325" y="202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17</xdr:col>
      <xdr:colOff>209550</xdr:colOff>
      <xdr:row>11</xdr:row>
      <xdr:rowOff>219075</xdr:rowOff>
    </xdr:from>
    <xdr:to>
      <xdr:col>18</xdr:col>
      <xdr:colOff>457200</xdr:colOff>
      <xdr:row>12</xdr:row>
      <xdr:rowOff>247651</xdr:rowOff>
    </xdr:to>
    <xdr:sp macro="" textlink="">
      <xdr:nvSpPr>
        <xdr:cNvPr id="90" name="テキスト ボックス 89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SpPr txBox="1"/>
      </xdr:nvSpPr>
      <xdr:spPr>
        <a:xfrm>
          <a:off x="10639425" y="3495675"/>
          <a:ext cx="790575" cy="3429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kumimoji="1" lang="ja-JP" altLang="en-US" sz="1400" b="0"/>
        </a:p>
      </xdr:txBody>
    </xdr:sp>
    <xdr:clientData/>
  </xdr:twoCellAnchor>
  <xdr:twoCellAnchor>
    <xdr:from>
      <xdr:col>11</xdr:col>
      <xdr:colOff>9525</xdr:colOff>
      <xdr:row>4</xdr:row>
      <xdr:rowOff>85725</xdr:rowOff>
    </xdr:from>
    <xdr:to>
      <xdr:col>14</xdr:col>
      <xdr:colOff>361950</xdr:colOff>
      <xdr:row>5</xdr:row>
      <xdr:rowOff>228600</xdr:rowOff>
    </xdr:to>
    <xdr:sp macro="" textlink="">
      <xdr:nvSpPr>
        <xdr:cNvPr id="91" name="テキスト ボックス 90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SpPr txBox="1"/>
      </xdr:nvSpPr>
      <xdr:spPr>
        <a:xfrm>
          <a:off x="6648450" y="1362075"/>
          <a:ext cx="2095500" cy="3905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600" i="1">
              <a:latin typeface="HGP明朝B" panose="02020800000000000000" pitchFamily="18" charset="-128"/>
              <a:ea typeface="HGP明朝B" panose="02020800000000000000" pitchFamily="18" charset="-128"/>
            </a:rPr>
            <a:t>株式会社　　　柚喜</a:t>
          </a:r>
          <a:r>
            <a:rPr kumimoji="1" lang="ja-JP" altLang="en-US" sz="1800">
              <a:latin typeface="HGP明朝B" panose="02020800000000000000" pitchFamily="18" charset="-128"/>
              <a:ea typeface="HGP明朝B" panose="02020800000000000000" pitchFamily="18" charset="-128"/>
            </a:rPr>
            <a:t>　</a:t>
          </a:r>
          <a:r>
            <a:rPr kumimoji="1" lang="ja-JP" altLang="en-US" sz="1100"/>
            <a:t>　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314325</xdr:colOff>
      <xdr:row>7</xdr:row>
      <xdr:rowOff>9525</xdr:rowOff>
    </xdr:from>
    <xdr:ext cx="184731" cy="26456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7762BE75-2EA0-4B39-845A-3F273482F344}"/>
            </a:ext>
          </a:extLst>
        </xdr:cNvPr>
        <xdr:cNvSpPr txBox="1"/>
      </xdr:nvSpPr>
      <xdr:spPr>
        <a:xfrm>
          <a:off x="1777365" y="189166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0</xdr:col>
      <xdr:colOff>1</xdr:colOff>
      <xdr:row>8</xdr:row>
      <xdr:rowOff>66675</xdr:rowOff>
    </xdr:from>
    <xdr:to>
      <xdr:col>6</xdr:col>
      <xdr:colOff>495299</xdr:colOff>
      <xdr:row>12</xdr:row>
      <xdr:rowOff>401</xdr:rowOff>
    </xdr:to>
    <xdr:grpSp>
      <xdr:nvGrpSpPr>
        <xdr:cNvPr id="3" name="グループ化 2">
          <a:extLst>
            <a:ext uri="{FF2B5EF4-FFF2-40B4-BE49-F238E27FC236}">
              <a16:creationId xmlns:a16="http://schemas.microsoft.com/office/drawing/2014/main" id="{BC9209A4-ADEC-4536-AC3D-AE08EA4BCF01}"/>
            </a:ext>
          </a:extLst>
        </xdr:cNvPr>
        <xdr:cNvGrpSpPr/>
      </xdr:nvGrpSpPr>
      <xdr:grpSpPr>
        <a:xfrm>
          <a:off x="1" y="2270125"/>
          <a:ext cx="3721098" cy="1178326"/>
          <a:chOff x="0" y="2409825"/>
          <a:chExt cx="3889237" cy="1130066"/>
        </a:xfrm>
      </xdr:grpSpPr>
      <xdr:sp macro="" textlink="">
        <xdr:nvSpPr>
          <xdr:cNvPr id="4" name="テキスト ボックス 3">
            <a:extLst>
              <a:ext uri="{FF2B5EF4-FFF2-40B4-BE49-F238E27FC236}">
                <a16:creationId xmlns:a16="http://schemas.microsoft.com/office/drawing/2014/main" id="{1B49E682-B32B-4804-4C7C-233FD9022E47}"/>
              </a:ext>
            </a:extLst>
          </xdr:cNvPr>
          <xdr:cNvSpPr txBox="1">
            <a:spLocks noChangeAspect="1"/>
          </xdr:cNvSpPr>
        </xdr:nvSpPr>
        <xdr:spPr>
          <a:xfrm>
            <a:off x="0" y="3248025"/>
            <a:ext cx="3813603" cy="29186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108000" tIns="36000" rIns="900000" bIns="36000" numCol="1" spcCol="180000" rtlCol="0" anchor="t">
            <a:spAutoFit/>
          </a:bodyPr>
          <a:lstStyle/>
          <a:p>
            <a:pPr algn="l"/>
            <a:r>
              <a:rPr kumimoji="1" lang="en-US" altLang="ja-JP" sz="1400" b="1"/>
              <a:t>E-MALL:</a:t>
            </a:r>
            <a:r>
              <a:rPr kumimoji="1" lang="en-US" altLang="ja-JP" sz="1400" b="1" baseline="0"/>
              <a:t>  </a:t>
            </a:r>
            <a:r>
              <a:rPr kumimoji="1" lang="en-US" altLang="ja-JP" sz="1400" b="1"/>
              <a:t>cs-yuzuki0109@cd5.so-net.ne.jp</a:t>
            </a:r>
            <a:endParaRPr kumimoji="1" lang="ja-JP" altLang="en-US" sz="1400" b="1"/>
          </a:p>
        </xdr:txBody>
      </xdr:sp>
      <xdr:sp macro="" textlink="">
        <xdr:nvSpPr>
          <xdr:cNvPr id="5" name="テキスト ボックス 4">
            <a:extLst>
              <a:ext uri="{FF2B5EF4-FFF2-40B4-BE49-F238E27FC236}">
                <a16:creationId xmlns:a16="http://schemas.microsoft.com/office/drawing/2014/main" id="{CF742C46-28BE-8652-0DAA-566E0192BB32}"/>
              </a:ext>
            </a:extLst>
          </xdr:cNvPr>
          <xdr:cNvSpPr txBox="1">
            <a:spLocks noChangeAspect="1"/>
          </xdr:cNvSpPr>
        </xdr:nvSpPr>
        <xdr:spPr>
          <a:xfrm>
            <a:off x="238231" y="2409825"/>
            <a:ext cx="3651006" cy="2728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108000" tIns="36000" rIns="900000" bIns="36000" numCol="1" spcCol="180000" rtlCol="0" anchor="t">
            <a:spAutoFit/>
          </a:bodyPr>
          <a:lstStyle/>
          <a:p>
            <a:pPr marL="0" lvl="0" indent="0" algn="l">
              <a:spcBef>
                <a:spcPts val="0"/>
              </a:spcBef>
              <a:buFont typeface="Arial" panose="020B0604020202020204" pitchFamily="34" charset="0"/>
              <a:buNone/>
            </a:pPr>
            <a:r>
              <a:rPr kumimoji="1" lang="ja-JP" altLang="en-US" sz="1200" b="1" baseline="0"/>
              <a:t>住所：　愛知県豊橋市東森岡　</a:t>
            </a:r>
            <a:r>
              <a:rPr kumimoji="1" lang="en-US" altLang="ja-JP" sz="1200" b="1" baseline="0"/>
              <a:t>1-7-13</a:t>
            </a:r>
            <a:endParaRPr kumimoji="1" lang="ja-JP" altLang="en-US" sz="1200" b="1"/>
          </a:p>
        </xdr:txBody>
      </xdr:sp>
      <xdr:sp macro="" textlink="">
        <xdr:nvSpPr>
          <xdr:cNvPr id="6" name="テキスト ボックス 5">
            <a:extLst>
              <a:ext uri="{FF2B5EF4-FFF2-40B4-BE49-F238E27FC236}">
                <a16:creationId xmlns:a16="http://schemas.microsoft.com/office/drawing/2014/main" id="{50BFD7D7-A383-9273-5215-031BF9231BD5}"/>
              </a:ext>
            </a:extLst>
          </xdr:cNvPr>
          <xdr:cNvSpPr txBox="1">
            <a:spLocks noChangeAspect="1"/>
          </xdr:cNvSpPr>
        </xdr:nvSpPr>
        <xdr:spPr>
          <a:xfrm>
            <a:off x="276225" y="2638425"/>
            <a:ext cx="2592721" cy="339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108000" tIns="36000" rIns="900000" bIns="36000" numCol="1" spcCol="180000" rtlCol="0" anchor="t">
            <a:spAutoFit/>
          </a:bodyPr>
          <a:lstStyle/>
          <a:p>
            <a:pPr algn="l"/>
            <a:r>
              <a:rPr kumimoji="1" lang="en-US" altLang="ja-JP" sz="1600" b="1"/>
              <a:t>TEL:</a:t>
            </a:r>
            <a:r>
              <a:rPr kumimoji="1" lang="ja-JP" altLang="en-US" sz="1600" b="1"/>
              <a:t>　　</a:t>
            </a:r>
            <a:r>
              <a:rPr kumimoji="1" lang="en-US" altLang="ja-JP" sz="1600" b="1"/>
              <a:t>0532-88-7770</a:t>
            </a:r>
            <a:endParaRPr kumimoji="1" lang="ja-JP" altLang="en-US" sz="1600" b="1"/>
          </a:p>
        </xdr:txBody>
      </xdr:sp>
      <xdr:sp macro="" textlink="">
        <xdr:nvSpPr>
          <xdr:cNvPr id="7" name="テキスト ボックス 6">
            <a:extLst>
              <a:ext uri="{FF2B5EF4-FFF2-40B4-BE49-F238E27FC236}">
                <a16:creationId xmlns:a16="http://schemas.microsoft.com/office/drawing/2014/main" id="{7BCB310F-B854-1803-2DD1-02C55DA3D2CB}"/>
              </a:ext>
            </a:extLst>
          </xdr:cNvPr>
          <xdr:cNvSpPr txBox="1">
            <a:spLocks noChangeAspect="1"/>
          </xdr:cNvSpPr>
        </xdr:nvSpPr>
        <xdr:spPr>
          <a:xfrm>
            <a:off x="228600" y="2952750"/>
            <a:ext cx="2760186" cy="339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108000" tIns="36000" rIns="900000" bIns="36000" numCol="1" spcCol="180000" rtlCol="0" anchor="t">
            <a:spAutoFit/>
          </a:bodyPr>
          <a:lstStyle/>
          <a:p>
            <a:pPr algn="l"/>
            <a:r>
              <a:rPr kumimoji="1" lang="en-US" altLang="ja-JP" sz="1600" b="1"/>
              <a:t>FAX:</a:t>
            </a:r>
            <a:r>
              <a:rPr kumimoji="1" lang="ja-JP" altLang="en-US" sz="1600" b="1"/>
              <a:t>　　</a:t>
            </a:r>
            <a:r>
              <a:rPr kumimoji="1" lang="en-US" altLang="ja-JP" sz="1600" b="1"/>
              <a:t>0532-88-4591</a:t>
            </a:r>
            <a:endParaRPr kumimoji="1" lang="ja-JP" altLang="en-US" sz="1600" b="1"/>
          </a:p>
        </xdr:txBody>
      </xdr:sp>
    </xdr:grpSp>
    <xdr:clientData/>
  </xdr:twoCellAnchor>
  <xdr:twoCellAnchor>
    <xdr:from>
      <xdr:col>6</xdr:col>
      <xdr:colOff>209550</xdr:colOff>
      <xdr:row>11</xdr:row>
      <xdr:rowOff>219075</xdr:rowOff>
    </xdr:from>
    <xdr:to>
      <xdr:col>7</xdr:col>
      <xdr:colOff>457200</xdr:colOff>
      <xdr:row>12</xdr:row>
      <xdr:rowOff>247651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719B92D4-0359-42A2-9CD6-76F3C3510C00}"/>
            </a:ext>
          </a:extLst>
        </xdr:cNvPr>
        <xdr:cNvSpPr txBox="1"/>
      </xdr:nvSpPr>
      <xdr:spPr>
        <a:xfrm>
          <a:off x="3470910" y="3350895"/>
          <a:ext cx="704850" cy="3409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kumimoji="1" lang="ja-JP" altLang="en-US" sz="1400" b="0"/>
        </a:p>
      </xdr:txBody>
    </xdr:sp>
    <xdr:clientData/>
  </xdr:twoCellAnchor>
  <xdr:oneCellAnchor>
    <xdr:from>
      <xdr:col>11</xdr:col>
      <xdr:colOff>0</xdr:colOff>
      <xdr:row>7</xdr:row>
      <xdr:rowOff>9525</xdr:rowOff>
    </xdr:from>
    <xdr:ext cx="184731" cy="264560"/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507A3EB9-B0E1-43DD-B3C8-8CE13474FD0F}"/>
            </a:ext>
          </a:extLst>
        </xdr:cNvPr>
        <xdr:cNvSpPr txBox="1"/>
      </xdr:nvSpPr>
      <xdr:spPr>
        <a:xfrm>
          <a:off x="7865745" y="189166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0</xdr:col>
      <xdr:colOff>0</xdr:colOff>
      <xdr:row>4</xdr:row>
      <xdr:rowOff>85725</xdr:rowOff>
    </xdr:from>
    <xdr:to>
      <xdr:col>3</xdr:col>
      <xdr:colOff>352425</xdr:colOff>
      <xdr:row>5</xdr:row>
      <xdr:rowOff>228600</xdr:rowOff>
    </xdr:to>
    <xdr:sp macro="" textlink="">
      <xdr:nvSpPr>
        <xdr:cNvPr id="16" name="テキスト ボックス 15">
          <a:extLst>
            <a:ext uri="{FF2B5EF4-FFF2-40B4-BE49-F238E27FC236}">
              <a16:creationId xmlns:a16="http://schemas.microsoft.com/office/drawing/2014/main" id="{3E9911E0-9401-4B0A-8785-9513F2207AC5}"/>
            </a:ext>
          </a:extLst>
        </xdr:cNvPr>
        <xdr:cNvSpPr txBox="1"/>
      </xdr:nvSpPr>
      <xdr:spPr>
        <a:xfrm>
          <a:off x="0" y="1213485"/>
          <a:ext cx="1815465" cy="3943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600" i="1">
              <a:latin typeface="HGP明朝B" panose="02020800000000000000" pitchFamily="18" charset="-128"/>
              <a:ea typeface="HGP明朝B" panose="02020800000000000000" pitchFamily="18" charset="-128"/>
            </a:rPr>
            <a:t>株式会社　　　柚喜</a:t>
          </a:r>
          <a:r>
            <a:rPr kumimoji="1" lang="ja-JP" altLang="en-US" sz="1800">
              <a:latin typeface="HGP明朝B" panose="02020800000000000000" pitchFamily="18" charset="-128"/>
              <a:ea typeface="HGP明朝B" panose="02020800000000000000" pitchFamily="18" charset="-128"/>
            </a:rPr>
            <a:t>　</a:t>
          </a:r>
          <a:r>
            <a:rPr kumimoji="1" lang="ja-JP" altLang="en-US" sz="1100"/>
            <a:t>　</a:t>
          </a:r>
        </a:p>
      </xdr:txBody>
    </xdr:sp>
    <xdr:clientData/>
  </xdr:twoCellAnchor>
  <xdr:oneCellAnchor>
    <xdr:from>
      <xdr:col>11</xdr:col>
      <xdr:colOff>0</xdr:colOff>
      <xdr:row>7</xdr:row>
      <xdr:rowOff>9525</xdr:rowOff>
    </xdr:from>
    <xdr:ext cx="184731" cy="264560"/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7C89E42F-0016-4C18-A4ED-2231602E6441}"/>
            </a:ext>
          </a:extLst>
        </xdr:cNvPr>
        <xdr:cNvSpPr txBox="1"/>
      </xdr:nvSpPr>
      <xdr:spPr>
        <a:xfrm>
          <a:off x="7865745" y="189166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314325</xdr:colOff>
      <xdr:row>7</xdr:row>
      <xdr:rowOff>9525</xdr:rowOff>
    </xdr:from>
    <xdr:ext cx="184731" cy="26456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2F4ED8F6-0A17-4DAC-ACBC-B6AA4C0BF9B8}"/>
            </a:ext>
          </a:extLst>
        </xdr:cNvPr>
        <xdr:cNvSpPr txBox="1"/>
      </xdr:nvSpPr>
      <xdr:spPr>
        <a:xfrm>
          <a:off x="1777365" y="189166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0</xdr:col>
      <xdr:colOff>1</xdr:colOff>
      <xdr:row>8</xdr:row>
      <xdr:rowOff>66675</xdr:rowOff>
    </xdr:from>
    <xdr:to>
      <xdr:col>6</xdr:col>
      <xdr:colOff>495299</xdr:colOff>
      <xdr:row>12</xdr:row>
      <xdr:rowOff>401</xdr:rowOff>
    </xdr:to>
    <xdr:grpSp>
      <xdr:nvGrpSpPr>
        <xdr:cNvPr id="3" name="グループ化 2">
          <a:extLst>
            <a:ext uri="{FF2B5EF4-FFF2-40B4-BE49-F238E27FC236}">
              <a16:creationId xmlns:a16="http://schemas.microsoft.com/office/drawing/2014/main" id="{3B9A2E9A-F125-4652-BB18-3C0150C960E1}"/>
            </a:ext>
          </a:extLst>
        </xdr:cNvPr>
        <xdr:cNvGrpSpPr/>
      </xdr:nvGrpSpPr>
      <xdr:grpSpPr>
        <a:xfrm>
          <a:off x="1" y="2270125"/>
          <a:ext cx="3721098" cy="1178326"/>
          <a:chOff x="0" y="2409825"/>
          <a:chExt cx="3889237" cy="1130066"/>
        </a:xfrm>
      </xdr:grpSpPr>
      <xdr:sp macro="" textlink="">
        <xdr:nvSpPr>
          <xdr:cNvPr id="4" name="テキスト ボックス 3">
            <a:extLst>
              <a:ext uri="{FF2B5EF4-FFF2-40B4-BE49-F238E27FC236}">
                <a16:creationId xmlns:a16="http://schemas.microsoft.com/office/drawing/2014/main" id="{5479DC67-DAD5-0F1F-9D26-8F8A9EEE33C7}"/>
              </a:ext>
            </a:extLst>
          </xdr:cNvPr>
          <xdr:cNvSpPr txBox="1">
            <a:spLocks noChangeAspect="1"/>
          </xdr:cNvSpPr>
        </xdr:nvSpPr>
        <xdr:spPr>
          <a:xfrm>
            <a:off x="0" y="3248025"/>
            <a:ext cx="3813603" cy="29186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108000" tIns="36000" rIns="900000" bIns="36000" numCol="1" spcCol="180000" rtlCol="0" anchor="t">
            <a:spAutoFit/>
          </a:bodyPr>
          <a:lstStyle/>
          <a:p>
            <a:pPr algn="l"/>
            <a:r>
              <a:rPr kumimoji="1" lang="en-US" altLang="ja-JP" sz="1400" b="1"/>
              <a:t>E-MALL:</a:t>
            </a:r>
            <a:r>
              <a:rPr kumimoji="1" lang="en-US" altLang="ja-JP" sz="1400" b="1" baseline="0"/>
              <a:t>  </a:t>
            </a:r>
            <a:r>
              <a:rPr kumimoji="1" lang="en-US" altLang="ja-JP" sz="1400" b="1"/>
              <a:t>cs-yuzuki0109@cd5.so-net.ne.jp</a:t>
            </a:r>
            <a:endParaRPr kumimoji="1" lang="ja-JP" altLang="en-US" sz="1400" b="1"/>
          </a:p>
        </xdr:txBody>
      </xdr:sp>
      <xdr:sp macro="" textlink="">
        <xdr:nvSpPr>
          <xdr:cNvPr id="5" name="テキスト ボックス 4">
            <a:extLst>
              <a:ext uri="{FF2B5EF4-FFF2-40B4-BE49-F238E27FC236}">
                <a16:creationId xmlns:a16="http://schemas.microsoft.com/office/drawing/2014/main" id="{9A04A66B-9151-4DB8-2375-50A75484551C}"/>
              </a:ext>
            </a:extLst>
          </xdr:cNvPr>
          <xdr:cNvSpPr txBox="1">
            <a:spLocks noChangeAspect="1"/>
          </xdr:cNvSpPr>
        </xdr:nvSpPr>
        <xdr:spPr>
          <a:xfrm>
            <a:off x="238231" y="2409825"/>
            <a:ext cx="3651006" cy="2728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108000" tIns="36000" rIns="900000" bIns="36000" numCol="1" spcCol="180000" rtlCol="0" anchor="t">
            <a:spAutoFit/>
          </a:bodyPr>
          <a:lstStyle/>
          <a:p>
            <a:pPr marL="0" lvl="0" indent="0" algn="l">
              <a:spcBef>
                <a:spcPts val="0"/>
              </a:spcBef>
              <a:buFont typeface="Arial" panose="020B0604020202020204" pitchFamily="34" charset="0"/>
              <a:buNone/>
            </a:pPr>
            <a:r>
              <a:rPr kumimoji="1" lang="ja-JP" altLang="en-US" sz="1200" b="1" baseline="0"/>
              <a:t>住所：　愛知県豊橋市東森岡　</a:t>
            </a:r>
            <a:r>
              <a:rPr kumimoji="1" lang="en-US" altLang="ja-JP" sz="1200" b="1" baseline="0"/>
              <a:t>1-7-13</a:t>
            </a:r>
            <a:endParaRPr kumimoji="1" lang="ja-JP" altLang="en-US" sz="1200" b="1"/>
          </a:p>
        </xdr:txBody>
      </xdr:sp>
      <xdr:sp macro="" textlink="">
        <xdr:nvSpPr>
          <xdr:cNvPr id="6" name="テキスト ボックス 5">
            <a:extLst>
              <a:ext uri="{FF2B5EF4-FFF2-40B4-BE49-F238E27FC236}">
                <a16:creationId xmlns:a16="http://schemas.microsoft.com/office/drawing/2014/main" id="{8836A8BE-2163-7D0D-7F9B-7CD647B0EC70}"/>
              </a:ext>
            </a:extLst>
          </xdr:cNvPr>
          <xdr:cNvSpPr txBox="1">
            <a:spLocks noChangeAspect="1"/>
          </xdr:cNvSpPr>
        </xdr:nvSpPr>
        <xdr:spPr>
          <a:xfrm>
            <a:off x="276225" y="2638425"/>
            <a:ext cx="2592721" cy="339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108000" tIns="36000" rIns="900000" bIns="36000" numCol="1" spcCol="180000" rtlCol="0" anchor="t">
            <a:spAutoFit/>
          </a:bodyPr>
          <a:lstStyle/>
          <a:p>
            <a:pPr algn="l"/>
            <a:r>
              <a:rPr kumimoji="1" lang="en-US" altLang="ja-JP" sz="1600" b="1"/>
              <a:t>TEL:</a:t>
            </a:r>
            <a:r>
              <a:rPr kumimoji="1" lang="ja-JP" altLang="en-US" sz="1600" b="1"/>
              <a:t>　　</a:t>
            </a:r>
            <a:r>
              <a:rPr kumimoji="1" lang="en-US" altLang="ja-JP" sz="1600" b="1"/>
              <a:t>0532-88-7770</a:t>
            </a:r>
            <a:endParaRPr kumimoji="1" lang="ja-JP" altLang="en-US" sz="1600" b="1"/>
          </a:p>
        </xdr:txBody>
      </xdr:sp>
      <xdr:sp macro="" textlink="">
        <xdr:nvSpPr>
          <xdr:cNvPr id="7" name="テキスト ボックス 6">
            <a:extLst>
              <a:ext uri="{FF2B5EF4-FFF2-40B4-BE49-F238E27FC236}">
                <a16:creationId xmlns:a16="http://schemas.microsoft.com/office/drawing/2014/main" id="{AB2CB488-5495-F245-5A63-DD2A2CF31527}"/>
              </a:ext>
            </a:extLst>
          </xdr:cNvPr>
          <xdr:cNvSpPr txBox="1">
            <a:spLocks noChangeAspect="1"/>
          </xdr:cNvSpPr>
        </xdr:nvSpPr>
        <xdr:spPr>
          <a:xfrm>
            <a:off x="228600" y="2952750"/>
            <a:ext cx="2760186" cy="339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108000" tIns="36000" rIns="900000" bIns="36000" numCol="1" spcCol="180000" rtlCol="0" anchor="t">
            <a:spAutoFit/>
          </a:bodyPr>
          <a:lstStyle/>
          <a:p>
            <a:pPr algn="l"/>
            <a:r>
              <a:rPr kumimoji="1" lang="en-US" altLang="ja-JP" sz="1600" b="1"/>
              <a:t>FAX:</a:t>
            </a:r>
            <a:r>
              <a:rPr kumimoji="1" lang="ja-JP" altLang="en-US" sz="1600" b="1"/>
              <a:t>　　</a:t>
            </a:r>
            <a:r>
              <a:rPr kumimoji="1" lang="en-US" altLang="ja-JP" sz="1600" b="1"/>
              <a:t>0532-88-4591</a:t>
            </a:r>
            <a:endParaRPr kumimoji="1" lang="ja-JP" altLang="en-US" sz="1600" b="1"/>
          </a:p>
        </xdr:txBody>
      </xdr:sp>
    </xdr:grpSp>
    <xdr:clientData/>
  </xdr:twoCellAnchor>
  <xdr:twoCellAnchor>
    <xdr:from>
      <xdr:col>6</xdr:col>
      <xdr:colOff>209550</xdr:colOff>
      <xdr:row>11</xdr:row>
      <xdr:rowOff>219075</xdr:rowOff>
    </xdr:from>
    <xdr:to>
      <xdr:col>7</xdr:col>
      <xdr:colOff>457200</xdr:colOff>
      <xdr:row>12</xdr:row>
      <xdr:rowOff>247651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E0B4F6CE-AABC-4FB8-B939-9F4F3A655E02}"/>
            </a:ext>
          </a:extLst>
        </xdr:cNvPr>
        <xdr:cNvSpPr txBox="1"/>
      </xdr:nvSpPr>
      <xdr:spPr>
        <a:xfrm>
          <a:off x="3470910" y="3350895"/>
          <a:ext cx="704850" cy="3409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kumimoji="1" lang="ja-JP" altLang="en-US" sz="1400" b="0"/>
        </a:p>
      </xdr:txBody>
    </xdr:sp>
    <xdr:clientData/>
  </xdr:twoCellAnchor>
  <xdr:oneCellAnchor>
    <xdr:from>
      <xdr:col>14</xdr:col>
      <xdr:colOff>314325</xdr:colOff>
      <xdr:row>7</xdr:row>
      <xdr:rowOff>9525</xdr:rowOff>
    </xdr:from>
    <xdr:ext cx="184731" cy="264560"/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7D7B4452-E4D3-4F83-8780-0B2D6FB07FCF}"/>
            </a:ext>
          </a:extLst>
        </xdr:cNvPr>
        <xdr:cNvSpPr txBox="1"/>
      </xdr:nvSpPr>
      <xdr:spPr>
        <a:xfrm>
          <a:off x="7865745" y="189166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11</xdr:col>
      <xdr:colOff>1</xdr:colOff>
      <xdr:row>8</xdr:row>
      <xdr:rowOff>66675</xdr:rowOff>
    </xdr:from>
    <xdr:to>
      <xdr:col>17</xdr:col>
      <xdr:colOff>495299</xdr:colOff>
      <xdr:row>12</xdr:row>
      <xdr:rowOff>401</xdr:rowOff>
    </xdr:to>
    <xdr:grpSp>
      <xdr:nvGrpSpPr>
        <xdr:cNvPr id="10" name="グループ化 9">
          <a:extLst>
            <a:ext uri="{FF2B5EF4-FFF2-40B4-BE49-F238E27FC236}">
              <a16:creationId xmlns:a16="http://schemas.microsoft.com/office/drawing/2014/main" id="{CFE2761D-391E-44E9-88BB-8B7CA57E32A6}"/>
            </a:ext>
          </a:extLst>
        </xdr:cNvPr>
        <xdr:cNvGrpSpPr/>
      </xdr:nvGrpSpPr>
      <xdr:grpSpPr>
        <a:xfrm>
          <a:off x="5975351" y="2270125"/>
          <a:ext cx="3916678" cy="1178326"/>
          <a:chOff x="0" y="2409825"/>
          <a:chExt cx="3889237" cy="1130066"/>
        </a:xfrm>
      </xdr:grpSpPr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78BD428F-6887-9612-16BD-3285AEFE11F5}"/>
              </a:ext>
            </a:extLst>
          </xdr:cNvPr>
          <xdr:cNvSpPr txBox="1">
            <a:spLocks noChangeAspect="1"/>
          </xdr:cNvSpPr>
        </xdr:nvSpPr>
        <xdr:spPr>
          <a:xfrm>
            <a:off x="0" y="3248025"/>
            <a:ext cx="3813603" cy="29186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108000" tIns="36000" rIns="900000" bIns="36000" numCol="1" spcCol="180000" rtlCol="0" anchor="t">
            <a:spAutoFit/>
          </a:bodyPr>
          <a:lstStyle/>
          <a:p>
            <a:pPr algn="l"/>
            <a:r>
              <a:rPr kumimoji="1" lang="en-US" altLang="ja-JP" sz="1400" b="1"/>
              <a:t>E-MALL:</a:t>
            </a:r>
            <a:r>
              <a:rPr kumimoji="1" lang="en-US" altLang="ja-JP" sz="1400" b="1" baseline="0"/>
              <a:t>  </a:t>
            </a:r>
            <a:r>
              <a:rPr kumimoji="1" lang="en-US" altLang="ja-JP" sz="1400" b="1"/>
              <a:t>cs-yuzuki0109@cd5.so-net.ne.jp</a:t>
            </a:r>
            <a:endParaRPr kumimoji="1" lang="ja-JP" altLang="en-US" sz="1400" b="1"/>
          </a:p>
        </xdr:txBody>
      </xdr:sp>
      <xdr:sp macro="" textlink="">
        <xdr:nvSpPr>
          <xdr:cNvPr id="12" name="テキスト ボックス 11">
            <a:extLst>
              <a:ext uri="{FF2B5EF4-FFF2-40B4-BE49-F238E27FC236}">
                <a16:creationId xmlns:a16="http://schemas.microsoft.com/office/drawing/2014/main" id="{3C65A02A-ED35-9693-0238-88B9F87D9740}"/>
              </a:ext>
            </a:extLst>
          </xdr:cNvPr>
          <xdr:cNvSpPr txBox="1">
            <a:spLocks noChangeAspect="1"/>
          </xdr:cNvSpPr>
        </xdr:nvSpPr>
        <xdr:spPr>
          <a:xfrm>
            <a:off x="238231" y="2409825"/>
            <a:ext cx="3651006" cy="2728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108000" tIns="36000" rIns="900000" bIns="36000" numCol="1" spcCol="180000" rtlCol="0" anchor="t">
            <a:spAutoFit/>
          </a:bodyPr>
          <a:lstStyle/>
          <a:p>
            <a:pPr marL="0" lvl="0" indent="0" algn="l">
              <a:spcBef>
                <a:spcPts val="0"/>
              </a:spcBef>
              <a:buFont typeface="Arial" panose="020B0604020202020204" pitchFamily="34" charset="0"/>
              <a:buNone/>
            </a:pPr>
            <a:r>
              <a:rPr kumimoji="1" lang="ja-JP" altLang="en-US" sz="1200" b="1" baseline="0"/>
              <a:t>住所：　愛知県豊橋市東森岡　</a:t>
            </a:r>
            <a:r>
              <a:rPr kumimoji="1" lang="en-US" altLang="ja-JP" sz="1200" b="1" baseline="0"/>
              <a:t>1-7-13</a:t>
            </a:r>
            <a:endParaRPr kumimoji="1" lang="ja-JP" altLang="en-US" sz="1200" b="1"/>
          </a:p>
        </xdr:txBody>
      </xdr:sp>
      <xdr:sp macro="" textlink="">
        <xdr:nvSpPr>
          <xdr:cNvPr id="13" name="テキスト ボックス 12">
            <a:extLst>
              <a:ext uri="{FF2B5EF4-FFF2-40B4-BE49-F238E27FC236}">
                <a16:creationId xmlns:a16="http://schemas.microsoft.com/office/drawing/2014/main" id="{53677DE2-BA0B-EDC2-6372-94E22748DB53}"/>
              </a:ext>
            </a:extLst>
          </xdr:cNvPr>
          <xdr:cNvSpPr txBox="1">
            <a:spLocks noChangeAspect="1"/>
          </xdr:cNvSpPr>
        </xdr:nvSpPr>
        <xdr:spPr>
          <a:xfrm>
            <a:off x="276225" y="2638425"/>
            <a:ext cx="2592721" cy="339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108000" tIns="36000" rIns="900000" bIns="36000" numCol="1" spcCol="180000" rtlCol="0" anchor="t">
            <a:spAutoFit/>
          </a:bodyPr>
          <a:lstStyle/>
          <a:p>
            <a:pPr algn="l"/>
            <a:r>
              <a:rPr kumimoji="1" lang="en-US" altLang="ja-JP" sz="1600" b="1"/>
              <a:t>TEL:</a:t>
            </a:r>
            <a:r>
              <a:rPr kumimoji="1" lang="ja-JP" altLang="en-US" sz="1600" b="1"/>
              <a:t>　　</a:t>
            </a:r>
            <a:r>
              <a:rPr kumimoji="1" lang="en-US" altLang="ja-JP" sz="1600" b="1"/>
              <a:t>0532-88-7770</a:t>
            </a:r>
            <a:endParaRPr kumimoji="1" lang="ja-JP" altLang="en-US" sz="1600" b="1"/>
          </a:p>
        </xdr:txBody>
      </xdr:sp>
      <xdr:sp macro="" textlink="">
        <xdr:nvSpPr>
          <xdr:cNvPr id="14" name="テキスト ボックス 13">
            <a:extLst>
              <a:ext uri="{FF2B5EF4-FFF2-40B4-BE49-F238E27FC236}">
                <a16:creationId xmlns:a16="http://schemas.microsoft.com/office/drawing/2014/main" id="{A6938993-1677-DF0E-C4B9-B437016A1B17}"/>
              </a:ext>
            </a:extLst>
          </xdr:cNvPr>
          <xdr:cNvSpPr txBox="1">
            <a:spLocks noChangeAspect="1"/>
          </xdr:cNvSpPr>
        </xdr:nvSpPr>
        <xdr:spPr>
          <a:xfrm>
            <a:off x="228600" y="2952750"/>
            <a:ext cx="2760186" cy="339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108000" tIns="36000" rIns="900000" bIns="36000" numCol="1" spcCol="180000" rtlCol="0" anchor="t">
            <a:spAutoFit/>
          </a:bodyPr>
          <a:lstStyle/>
          <a:p>
            <a:pPr algn="l"/>
            <a:r>
              <a:rPr kumimoji="1" lang="en-US" altLang="ja-JP" sz="1600" b="1"/>
              <a:t>FAX:</a:t>
            </a:r>
            <a:r>
              <a:rPr kumimoji="1" lang="ja-JP" altLang="en-US" sz="1600" b="1"/>
              <a:t>　　</a:t>
            </a:r>
            <a:r>
              <a:rPr kumimoji="1" lang="en-US" altLang="ja-JP" sz="1600" b="1"/>
              <a:t>0532-88-4591</a:t>
            </a:r>
            <a:endParaRPr kumimoji="1" lang="ja-JP" altLang="en-US" sz="1600" b="1"/>
          </a:p>
        </xdr:txBody>
      </xdr:sp>
    </xdr:grpSp>
    <xdr:clientData/>
  </xdr:twoCellAnchor>
  <xdr:twoCellAnchor>
    <xdr:from>
      <xdr:col>17</xdr:col>
      <xdr:colOff>209550</xdr:colOff>
      <xdr:row>11</xdr:row>
      <xdr:rowOff>219075</xdr:rowOff>
    </xdr:from>
    <xdr:to>
      <xdr:col>18</xdr:col>
      <xdr:colOff>457200</xdr:colOff>
      <xdr:row>12</xdr:row>
      <xdr:rowOff>247651</xdr:rowOff>
    </xdr:to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B2FD624B-349F-40C7-9160-696C60B72176}"/>
            </a:ext>
          </a:extLst>
        </xdr:cNvPr>
        <xdr:cNvSpPr txBox="1"/>
      </xdr:nvSpPr>
      <xdr:spPr>
        <a:xfrm>
          <a:off x="9612630" y="3350895"/>
          <a:ext cx="735330" cy="3409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kumimoji="1" lang="ja-JP" altLang="en-US" sz="1400" b="0"/>
        </a:p>
      </xdr:txBody>
    </xdr:sp>
    <xdr:clientData/>
  </xdr:twoCellAnchor>
  <xdr:twoCellAnchor>
    <xdr:from>
      <xdr:col>0</xdr:col>
      <xdr:colOff>0</xdr:colOff>
      <xdr:row>4</xdr:row>
      <xdr:rowOff>85725</xdr:rowOff>
    </xdr:from>
    <xdr:to>
      <xdr:col>3</xdr:col>
      <xdr:colOff>352425</xdr:colOff>
      <xdr:row>5</xdr:row>
      <xdr:rowOff>228600</xdr:rowOff>
    </xdr:to>
    <xdr:sp macro="" textlink="">
      <xdr:nvSpPr>
        <xdr:cNvPr id="16" name="テキスト ボックス 15">
          <a:extLst>
            <a:ext uri="{FF2B5EF4-FFF2-40B4-BE49-F238E27FC236}">
              <a16:creationId xmlns:a16="http://schemas.microsoft.com/office/drawing/2014/main" id="{8788EE66-0B65-421F-8B92-B559673E087A}"/>
            </a:ext>
          </a:extLst>
        </xdr:cNvPr>
        <xdr:cNvSpPr txBox="1"/>
      </xdr:nvSpPr>
      <xdr:spPr>
        <a:xfrm>
          <a:off x="0" y="1213485"/>
          <a:ext cx="1815465" cy="3943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600" i="1">
              <a:latin typeface="HGP明朝B" panose="02020800000000000000" pitchFamily="18" charset="-128"/>
              <a:ea typeface="HGP明朝B" panose="02020800000000000000" pitchFamily="18" charset="-128"/>
            </a:rPr>
            <a:t>株式会社　　　柚喜</a:t>
          </a:r>
          <a:r>
            <a:rPr kumimoji="1" lang="ja-JP" altLang="en-US" sz="1800">
              <a:latin typeface="HGP明朝B" panose="02020800000000000000" pitchFamily="18" charset="-128"/>
              <a:ea typeface="HGP明朝B" panose="02020800000000000000" pitchFamily="18" charset="-128"/>
            </a:rPr>
            <a:t>　</a:t>
          </a:r>
          <a:r>
            <a:rPr kumimoji="1" lang="ja-JP" altLang="en-US" sz="1100"/>
            <a:t>　</a:t>
          </a:r>
        </a:p>
      </xdr:txBody>
    </xdr:sp>
    <xdr:clientData/>
  </xdr:twoCellAnchor>
  <xdr:oneCellAnchor>
    <xdr:from>
      <xdr:col>14</xdr:col>
      <xdr:colOff>314325</xdr:colOff>
      <xdr:row>7</xdr:row>
      <xdr:rowOff>9525</xdr:rowOff>
    </xdr:from>
    <xdr:ext cx="184731" cy="264560"/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7020E1D0-33E0-4F80-9810-3A7FFAB31A11}"/>
            </a:ext>
          </a:extLst>
        </xdr:cNvPr>
        <xdr:cNvSpPr txBox="1"/>
      </xdr:nvSpPr>
      <xdr:spPr>
        <a:xfrm>
          <a:off x="7865745" y="189166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17</xdr:col>
      <xdr:colOff>209550</xdr:colOff>
      <xdr:row>11</xdr:row>
      <xdr:rowOff>219075</xdr:rowOff>
    </xdr:from>
    <xdr:to>
      <xdr:col>18</xdr:col>
      <xdr:colOff>457200</xdr:colOff>
      <xdr:row>12</xdr:row>
      <xdr:rowOff>247651</xdr:rowOff>
    </xdr:to>
    <xdr:sp macro="" textlink="">
      <xdr:nvSpPr>
        <xdr:cNvPr id="18" name="テキスト ボックス 17">
          <a:extLst>
            <a:ext uri="{FF2B5EF4-FFF2-40B4-BE49-F238E27FC236}">
              <a16:creationId xmlns:a16="http://schemas.microsoft.com/office/drawing/2014/main" id="{C0168073-B805-45E5-B32E-7438A24F275B}"/>
            </a:ext>
          </a:extLst>
        </xdr:cNvPr>
        <xdr:cNvSpPr txBox="1"/>
      </xdr:nvSpPr>
      <xdr:spPr>
        <a:xfrm>
          <a:off x="9612630" y="3350895"/>
          <a:ext cx="735330" cy="3409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kumimoji="1" lang="ja-JP" altLang="en-US" sz="1400" b="0"/>
        </a:p>
      </xdr:txBody>
    </xdr:sp>
    <xdr:clientData/>
  </xdr:twoCellAnchor>
  <xdr:twoCellAnchor>
    <xdr:from>
      <xdr:col>11</xdr:col>
      <xdr:colOff>9525</xdr:colOff>
      <xdr:row>4</xdr:row>
      <xdr:rowOff>85725</xdr:rowOff>
    </xdr:from>
    <xdr:to>
      <xdr:col>14</xdr:col>
      <xdr:colOff>361950</xdr:colOff>
      <xdr:row>5</xdr:row>
      <xdr:rowOff>228600</xdr:rowOff>
    </xdr:to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EA579F6F-B98A-4153-9226-DED1E66001BE}"/>
            </a:ext>
          </a:extLst>
        </xdr:cNvPr>
        <xdr:cNvSpPr txBox="1"/>
      </xdr:nvSpPr>
      <xdr:spPr>
        <a:xfrm>
          <a:off x="5983605" y="1213485"/>
          <a:ext cx="1929765" cy="3943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600" i="1">
              <a:latin typeface="HGP明朝B" panose="02020800000000000000" pitchFamily="18" charset="-128"/>
              <a:ea typeface="HGP明朝B" panose="02020800000000000000" pitchFamily="18" charset="-128"/>
            </a:rPr>
            <a:t>株式会社　　　柚喜</a:t>
          </a:r>
          <a:r>
            <a:rPr kumimoji="1" lang="ja-JP" altLang="en-US" sz="1800">
              <a:latin typeface="HGP明朝B" panose="02020800000000000000" pitchFamily="18" charset="-128"/>
              <a:ea typeface="HGP明朝B" panose="02020800000000000000" pitchFamily="18" charset="-128"/>
            </a:rPr>
            <a:t>　</a:t>
          </a:r>
          <a:r>
            <a:rPr kumimoji="1" lang="ja-JP" altLang="en-US" sz="1100"/>
            <a:t>　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8"/>
  <sheetViews>
    <sheetView zoomScale="120" zoomScaleNormal="120" workbookViewId="0">
      <selection sqref="A1:XFD1048576"/>
    </sheetView>
  </sheetViews>
  <sheetFormatPr defaultRowHeight="13.2"/>
  <cols>
    <col min="1" max="4" width="7.109375" customWidth="1"/>
    <col min="5" max="5" width="12.44140625" customWidth="1"/>
    <col min="6" max="7" width="6.6640625" customWidth="1"/>
    <col min="8" max="8" width="9.6640625" customWidth="1"/>
    <col min="9" max="9" width="8.109375" customWidth="1"/>
    <col min="10" max="10" width="7.44140625" customWidth="1"/>
    <col min="11" max="14" width="7.6640625" customWidth="1"/>
    <col min="15" max="15" width="9.6640625" customWidth="1"/>
    <col min="16" max="16" width="10.6640625" customWidth="1"/>
    <col min="17" max="17" width="6.6640625" customWidth="1"/>
    <col min="18" max="18" width="7.109375" customWidth="1"/>
    <col min="19" max="19" width="8.6640625" customWidth="1"/>
    <col min="20" max="21" width="7.6640625" customWidth="1"/>
    <col min="22" max="22" width="7.44140625" customWidth="1"/>
    <col min="24" max="24" width="9.21875" bestFit="1" customWidth="1"/>
  </cols>
  <sheetData>
    <row r="1" spans="1:22" ht="24.9" customHeight="1">
      <c r="A1" s="14"/>
      <c r="B1" s="14"/>
      <c r="C1" s="14"/>
      <c r="D1" s="14"/>
      <c r="E1" s="14"/>
      <c r="F1" s="14" t="s">
        <v>0</v>
      </c>
      <c r="G1" s="14"/>
      <c r="I1" s="15" t="s">
        <v>1</v>
      </c>
      <c r="J1" s="16"/>
      <c r="K1" s="16"/>
      <c r="L1" s="14"/>
      <c r="M1" s="14"/>
      <c r="N1" s="14"/>
      <c r="O1" s="14"/>
      <c r="P1" s="14"/>
      <c r="Q1" s="14" t="s">
        <v>0</v>
      </c>
      <c r="R1" s="14"/>
      <c r="T1" s="15" t="s">
        <v>35</v>
      </c>
      <c r="U1" s="16"/>
      <c r="V1" s="16"/>
    </row>
    <row r="2" spans="1:22" ht="24.9" customHeight="1">
      <c r="A2" s="14"/>
      <c r="B2" s="14"/>
      <c r="C2" s="14"/>
      <c r="D2" s="14"/>
      <c r="E2" s="14"/>
      <c r="F2" s="14"/>
      <c r="G2" s="14"/>
      <c r="H2" t="s">
        <v>2</v>
      </c>
      <c r="I2" s="1" t="s">
        <v>3</v>
      </c>
      <c r="J2" s="1"/>
      <c r="K2" s="1"/>
      <c r="L2" s="14"/>
      <c r="M2" s="14"/>
      <c r="N2" s="14"/>
      <c r="O2" s="14"/>
      <c r="P2" s="14"/>
      <c r="Q2" s="14"/>
      <c r="R2" s="14"/>
      <c r="S2" t="s">
        <v>2</v>
      </c>
      <c r="T2" s="1" t="s">
        <v>3</v>
      </c>
      <c r="U2" s="1"/>
      <c r="V2" s="1"/>
    </row>
    <row r="3" spans="1:22" ht="20.100000000000001" customHeight="1">
      <c r="A3" s="2" t="s">
        <v>4</v>
      </c>
      <c r="B3" s="20" t="s">
        <v>30</v>
      </c>
      <c r="C3" s="20"/>
      <c r="D3" s="20"/>
      <c r="L3" s="2" t="s">
        <v>4</v>
      </c>
      <c r="M3" s="20" t="s">
        <v>30</v>
      </c>
      <c r="N3" s="20"/>
      <c r="O3" s="20"/>
    </row>
    <row r="4" spans="1:22" ht="20.100000000000001" customHeight="1">
      <c r="H4" s="3" t="s">
        <v>5</v>
      </c>
      <c r="I4" s="4" t="s">
        <v>27</v>
      </c>
      <c r="J4" s="21" t="s">
        <v>28</v>
      </c>
      <c r="K4" s="21"/>
      <c r="S4" s="3" t="s">
        <v>5</v>
      </c>
      <c r="T4" s="4" t="s">
        <v>27</v>
      </c>
      <c r="U4" s="21" t="s">
        <v>28</v>
      </c>
      <c r="V4" s="21"/>
    </row>
    <row r="5" spans="1:22" ht="20.100000000000001" customHeight="1">
      <c r="H5" s="3"/>
      <c r="I5" s="3"/>
      <c r="J5" s="21"/>
      <c r="K5" s="21"/>
      <c r="S5" s="3"/>
      <c r="T5" s="3"/>
      <c r="U5" s="21"/>
      <c r="V5" s="21"/>
    </row>
    <row r="6" spans="1:22" ht="20.100000000000001" customHeight="1">
      <c r="E6" t="s">
        <v>6</v>
      </c>
      <c r="P6" t="s">
        <v>25</v>
      </c>
    </row>
    <row r="7" spans="1:22" ht="20.100000000000001" customHeight="1"/>
    <row r="8" spans="1:22" ht="24.9" customHeight="1"/>
    <row r="9" spans="1:22" ht="24.9" customHeight="1">
      <c r="A9" s="17"/>
      <c r="B9" s="17"/>
      <c r="C9" s="17"/>
      <c r="D9" s="17"/>
      <c r="E9" s="17"/>
      <c r="F9" s="17"/>
      <c r="G9" s="5"/>
      <c r="H9" s="18" t="s">
        <v>7</v>
      </c>
      <c r="I9" s="18"/>
      <c r="J9" s="19" t="s">
        <v>8</v>
      </c>
      <c r="K9" s="19"/>
      <c r="L9" s="17"/>
      <c r="M9" s="17"/>
      <c r="N9" s="17"/>
      <c r="O9" s="17"/>
      <c r="P9" s="17"/>
      <c r="Q9" s="17"/>
      <c r="R9" s="5"/>
      <c r="S9" s="18"/>
      <c r="T9" s="18"/>
      <c r="U9" s="19"/>
      <c r="V9" s="19"/>
    </row>
    <row r="10" spans="1:22" ht="24.9" customHeight="1">
      <c r="A10" s="17" t="s">
        <v>26</v>
      </c>
      <c r="B10" s="17"/>
      <c r="C10" s="17"/>
      <c r="D10" s="17"/>
      <c r="E10" s="17"/>
      <c r="F10" s="17"/>
      <c r="G10" s="17"/>
      <c r="H10" s="18" t="s">
        <v>9</v>
      </c>
      <c r="I10" s="18"/>
      <c r="J10" s="19" t="s">
        <v>10</v>
      </c>
      <c r="K10" s="19"/>
      <c r="L10" s="17" t="s">
        <v>26</v>
      </c>
      <c r="M10" s="17"/>
      <c r="N10" s="17"/>
      <c r="O10" s="17"/>
      <c r="P10" s="17"/>
      <c r="Q10" s="17"/>
      <c r="R10" s="17"/>
      <c r="S10" s="18"/>
      <c r="T10" s="18"/>
      <c r="U10" s="19"/>
      <c r="V10" s="19"/>
    </row>
    <row r="11" spans="1:22" ht="24.9" customHeight="1">
      <c r="A11" s="17"/>
      <c r="B11" s="17"/>
      <c r="C11" s="17"/>
      <c r="D11" s="17"/>
      <c r="E11" s="17"/>
      <c r="F11" s="17"/>
      <c r="G11" s="17"/>
      <c r="H11" s="18" t="s">
        <v>11</v>
      </c>
      <c r="I11" s="18"/>
      <c r="J11" s="19" t="s">
        <v>12</v>
      </c>
      <c r="K11" s="19"/>
      <c r="L11" s="17"/>
      <c r="M11" s="17"/>
      <c r="N11" s="17"/>
      <c r="O11" s="17"/>
      <c r="P11" s="17"/>
      <c r="Q11" s="17"/>
      <c r="R11" s="17"/>
      <c r="S11" s="18"/>
      <c r="T11" s="18"/>
      <c r="U11" s="19"/>
      <c r="V11" s="19"/>
    </row>
    <row r="12" spans="1:22" ht="24.9" customHeight="1">
      <c r="A12" s="17"/>
      <c r="B12" s="17"/>
      <c r="C12" s="17"/>
      <c r="D12" s="17"/>
      <c r="E12" s="17"/>
      <c r="F12" s="17"/>
      <c r="G12" s="17"/>
      <c r="H12" s="19" t="s">
        <v>13</v>
      </c>
      <c r="I12" s="19"/>
      <c r="J12" s="19"/>
      <c r="K12" s="19"/>
      <c r="L12" s="17"/>
      <c r="M12" s="17"/>
      <c r="N12" s="17"/>
      <c r="O12" s="17"/>
      <c r="P12" s="17"/>
      <c r="Q12" s="17"/>
      <c r="R12" s="17"/>
      <c r="S12" s="19"/>
      <c r="T12" s="19"/>
      <c r="U12" s="19"/>
      <c r="V12" s="19"/>
    </row>
    <row r="13" spans="1:22" ht="24.9" customHeight="1">
      <c r="A13" s="6"/>
      <c r="B13" s="6"/>
      <c r="C13" s="6"/>
      <c r="D13" s="6"/>
      <c r="E13" s="6"/>
      <c r="F13" s="6"/>
      <c r="G13" s="6"/>
      <c r="H13" s="18" t="s">
        <v>14</v>
      </c>
      <c r="I13" s="18"/>
      <c r="J13" s="32">
        <v>372785</v>
      </c>
      <c r="K13" s="32"/>
      <c r="L13" s="6"/>
      <c r="M13" s="6"/>
      <c r="N13" s="6"/>
      <c r="O13" s="6"/>
      <c r="P13" s="6"/>
      <c r="Q13" s="6"/>
      <c r="R13" s="6"/>
      <c r="S13" s="18"/>
      <c r="T13" s="18"/>
      <c r="U13" s="32"/>
      <c r="V13" s="32"/>
    </row>
    <row r="14" spans="1:22" ht="20.100000000000001" customHeight="1">
      <c r="A14" s="6"/>
      <c r="B14" s="6"/>
      <c r="C14" s="6"/>
      <c r="D14" s="6"/>
      <c r="E14" s="6"/>
      <c r="F14" s="6"/>
      <c r="G14" s="6"/>
      <c r="L14" s="6"/>
      <c r="M14" s="6"/>
      <c r="N14" s="6"/>
      <c r="O14" s="6"/>
      <c r="P14" s="6"/>
      <c r="Q14" s="6"/>
      <c r="R14" s="6"/>
    </row>
    <row r="15" spans="1:22" ht="20.100000000000001" customHeight="1" thickBot="1">
      <c r="C15" s="7"/>
      <c r="N15" s="7"/>
    </row>
    <row r="16" spans="1:22" ht="21.75" customHeight="1">
      <c r="A16" s="22" t="s">
        <v>15</v>
      </c>
      <c r="B16" s="23"/>
      <c r="C16" s="23"/>
      <c r="D16" s="24"/>
      <c r="E16" s="8" t="s">
        <v>16</v>
      </c>
      <c r="F16" s="8" t="s">
        <v>17</v>
      </c>
      <c r="G16" s="8" t="s">
        <v>18</v>
      </c>
      <c r="H16" s="8" t="s">
        <v>19</v>
      </c>
      <c r="I16" s="25" t="s">
        <v>20</v>
      </c>
      <c r="J16" s="25"/>
      <c r="K16" s="26"/>
      <c r="L16" s="22" t="s">
        <v>15</v>
      </c>
      <c r="M16" s="23"/>
      <c r="N16" s="23"/>
      <c r="O16" s="24"/>
      <c r="P16" s="8" t="s">
        <v>16</v>
      </c>
      <c r="Q16" s="8" t="s">
        <v>17</v>
      </c>
      <c r="R16" s="8" t="s">
        <v>18</v>
      </c>
      <c r="S16" s="8" t="s">
        <v>19</v>
      </c>
      <c r="T16" s="25" t="s">
        <v>20</v>
      </c>
      <c r="U16" s="25"/>
      <c r="V16" s="26"/>
    </row>
    <row r="17" spans="1:22" ht="20.100000000000001" customHeight="1">
      <c r="A17" s="27" t="s">
        <v>31</v>
      </c>
      <c r="B17" s="28"/>
      <c r="C17" s="28"/>
      <c r="D17" s="28"/>
      <c r="E17" s="47"/>
      <c r="F17" s="49"/>
      <c r="G17" s="9"/>
      <c r="H17" s="10"/>
      <c r="I17" s="29">
        <f>T33</f>
        <v>0</v>
      </c>
      <c r="J17" s="30"/>
      <c r="K17" s="31"/>
      <c r="L17" s="27"/>
      <c r="M17" s="28"/>
      <c r="N17" s="28"/>
      <c r="O17" s="28"/>
      <c r="P17" s="47"/>
      <c r="Q17" s="49"/>
      <c r="R17" s="49"/>
      <c r="S17" s="53"/>
      <c r="T17" s="29">
        <f>S17*Q17</f>
        <v>0</v>
      </c>
      <c r="U17" s="30"/>
      <c r="V17" s="31"/>
    </row>
    <row r="18" spans="1:22" ht="20.100000000000001" customHeight="1">
      <c r="A18" s="27"/>
      <c r="B18" s="28"/>
      <c r="C18" s="28"/>
      <c r="D18" s="28"/>
      <c r="E18" s="47"/>
      <c r="F18" s="49"/>
      <c r="G18" s="9"/>
      <c r="H18" s="10"/>
      <c r="I18" s="29">
        <f>H18*F18</f>
        <v>0</v>
      </c>
      <c r="J18" s="30"/>
      <c r="K18" s="31"/>
      <c r="L18" s="27"/>
      <c r="M18" s="28"/>
      <c r="N18" s="28"/>
      <c r="O18" s="28"/>
      <c r="P18" s="47"/>
      <c r="Q18" s="49"/>
      <c r="R18" s="49"/>
      <c r="S18" s="53"/>
      <c r="T18" s="29">
        <f>S18*Q18</f>
        <v>0</v>
      </c>
      <c r="U18" s="30"/>
      <c r="V18" s="31"/>
    </row>
    <row r="19" spans="1:22" ht="20.100000000000001" customHeight="1">
      <c r="A19" s="27"/>
      <c r="B19" s="28"/>
      <c r="C19" s="28"/>
      <c r="D19" s="28"/>
      <c r="E19" s="47"/>
      <c r="F19" s="49"/>
      <c r="G19" s="9"/>
      <c r="H19" s="10"/>
      <c r="I19" s="29">
        <f t="shared" ref="I19:I32" si="0">H19*F19</f>
        <v>0</v>
      </c>
      <c r="J19" s="30"/>
      <c r="K19" s="31"/>
      <c r="L19" s="27"/>
      <c r="M19" s="28"/>
      <c r="N19" s="28"/>
      <c r="O19" s="28"/>
      <c r="P19" s="47"/>
      <c r="Q19" s="49"/>
      <c r="R19" s="49"/>
      <c r="S19" s="53"/>
      <c r="T19" s="29">
        <f t="shared" ref="T19:T32" si="1">S19*Q19</f>
        <v>0</v>
      </c>
      <c r="U19" s="30"/>
      <c r="V19" s="31"/>
    </row>
    <row r="20" spans="1:22" ht="20.100000000000001" customHeight="1">
      <c r="A20" s="27"/>
      <c r="B20" s="28"/>
      <c r="C20" s="28"/>
      <c r="D20" s="28"/>
      <c r="E20" s="47"/>
      <c r="F20" s="49"/>
      <c r="G20" s="9"/>
      <c r="H20" s="10"/>
      <c r="I20" s="29">
        <f t="shared" si="0"/>
        <v>0</v>
      </c>
      <c r="J20" s="30"/>
      <c r="K20" s="31"/>
      <c r="L20" s="27"/>
      <c r="M20" s="28"/>
      <c r="N20" s="28"/>
      <c r="O20" s="28"/>
      <c r="P20" s="47"/>
      <c r="Q20" s="49"/>
      <c r="R20" s="49"/>
      <c r="S20" s="53"/>
      <c r="T20" s="29">
        <f t="shared" si="1"/>
        <v>0</v>
      </c>
      <c r="U20" s="30"/>
      <c r="V20" s="31"/>
    </row>
    <row r="21" spans="1:22" ht="20.100000000000001" customHeight="1">
      <c r="A21" s="27"/>
      <c r="B21" s="28"/>
      <c r="C21" s="28"/>
      <c r="D21" s="28"/>
      <c r="E21" s="47"/>
      <c r="F21" s="49"/>
      <c r="G21" s="9"/>
      <c r="H21" s="10"/>
      <c r="I21" s="29">
        <f t="shared" si="0"/>
        <v>0</v>
      </c>
      <c r="J21" s="30"/>
      <c r="K21" s="31"/>
      <c r="L21" s="27"/>
      <c r="M21" s="28"/>
      <c r="N21" s="28"/>
      <c r="O21" s="28"/>
      <c r="P21" s="47"/>
      <c r="Q21" s="49"/>
      <c r="R21" s="49"/>
      <c r="S21" s="53"/>
      <c r="T21" s="29">
        <f t="shared" si="1"/>
        <v>0</v>
      </c>
      <c r="U21" s="30"/>
      <c r="V21" s="31"/>
    </row>
    <row r="22" spans="1:22" ht="20.100000000000001" customHeight="1">
      <c r="A22" s="27"/>
      <c r="B22" s="28"/>
      <c r="C22" s="28"/>
      <c r="D22" s="28"/>
      <c r="E22" s="47"/>
      <c r="F22" s="49"/>
      <c r="G22" s="9"/>
      <c r="H22" s="10"/>
      <c r="I22" s="29">
        <f t="shared" si="0"/>
        <v>0</v>
      </c>
      <c r="J22" s="30"/>
      <c r="K22" s="31"/>
      <c r="L22" s="27"/>
      <c r="M22" s="28"/>
      <c r="N22" s="28"/>
      <c r="O22" s="28"/>
      <c r="P22" s="47"/>
      <c r="Q22" s="49"/>
      <c r="R22" s="49"/>
      <c r="S22" s="53"/>
      <c r="T22" s="29">
        <f t="shared" si="1"/>
        <v>0</v>
      </c>
      <c r="U22" s="30"/>
      <c r="V22" s="31"/>
    </row>
    <row r="23" spans="1:22" ht="20.100000000000001" customHeight="1">
      <c r="A23" s="27"/>
      <c r="B23" s="28"/>
      <c r="C23" s="28"/>
      <c r="D23" s="28"/>
      <c r="E23" s="47"/>
      <c r="F23" s="49"/>
      <c r="G23" s="9"/>
      <c r="H23" s="10"/>
      <c r="I23" s="29">
        <f t="shared" si="0"/>
        <v>0</v>
      </c>
      <c r="J23" s="30"/>
      <c r="K23" s="31"/>
      <c r="L23" s="27"/>
      <c r="M23" s="28"/>
      <c r="N23" s="28"/>
      <c r="O23" s="28"/>
      <c r="P23" s="47"/>
      <c r="Q23" s="49"/>
      <c r="R23" s="49"/>
      <c r="S23" s="53"/>
      <c r="T23" s="29">
        <f t="shared" si="1"/>
        <v>0</v>
      </c>
      <c r="U23" s="30"/>
      <c r="V23" s="31"/>
    </row>
    <row r="24" spans="1:22" ht="20.100000000000001" customHeight="1">
      <c r="A24" s="27"/>
      <c r="B24" s="28"/>
      <c r="C24" s="28"/>
      <c r="D24" s="28"/>
      <c r="E24" s="47"/>
      <c r="F24" s="49"/>
      <c r="G24" s="9"/>
      <c r="H24" s="10"/>
      <c r="I24" s="29">
        <f t="shared" si="0"/>
        <v>0</v>
      </c>
      <c r="J24" s="30"/>
      <c r="K24" s="31"/>
      <c r="L24" s="27"/>
      <c r="M24" s="28"/>
      <c r="N24" s="28"/>
      <c r="O24" s="28"/>
      <c r="P24" s="47"/>
      <c r="Q24" s="49"/>
      <c r="R24" s="49"/>
      <c r="S24" s="53"/>
      <c r="T24" s="29">
        <f t="shared" si="1"/>
        <v>0</v>
      </c>
      <c r="U24" s="30"/>
      <c r="V24" s="31"/>
    </row>
    <row r="25" spans="1:22" ht="20.100000000000001" customHeight="1">
      <c r="A25" s="27"/>
      <c r="B25" s="28"/>
      <c r="C25" s="28"/>
      <c r="D25" s="28"/>
      <c r="E25" s="47"/>
      <c r="F25" s="49"/>
      <c r="G25" s="9"/>
      <c r="H25" s="10"/>
      <c r="I25" s="29">
        <f t="shared" si="0"/>
        <v>0</v>
      </c>
      <c r="J25" s="30"/>
      <c r="K25" s="31"/>
      <c r="L25" s="27"/>
      <c r="M25" s="28"/>
      <c r="N25" s="28"/>
      <c r="O25" s="28"/>
      <c r="P25" s="47"/>
      <c r="Q25" s="49"/>
      <c r="R25" s="49"/>
      <c r="S25" s="53"/>
      <c r="T25" s="29">
        <f t="shared" si="1"/>
        <v>0</v>
      </c>
      <c r="U25" s="30"/>
      <c r="V25" s="31"/>
    </row>
    <row r="26" spans="1:22" ht="20.100000000000001" customHeight="1">
      <c r="A26" s="27"/>
      <c r="B26" s="28"/>
      <c r="C26" s="28"/>
      <c r="D26" s="28"/>
      <c r="E26" s="47"/>
      <c r="F26" s="49"/>
      <c r="G26" s="9"/>
      <c r="H26" s="10"/>
      <c r="I26" s="29">
        <f t="shared" si="0"/>
        <v>0</v>
      </c>
      <c r="J26" s="30"/>
      <c r="K26" s="31"/>
      <c r="L26" s="27"/>
      <c r="M26" s="28"/>
      <c r="N26" s="28"/>
      <c r="O26" s="28"/>
      <c r="P26" s="47"/>
      <c r="Q26" s="49"/>
      <c r="R26" s="49"/>
      <c r="S26" s="53"/>
      <c r="T26" s="29">
        <f t="shared" si="1"/>
        <v>0</v>
      </c>
      <c r="U26" s="30"/>
      <c r="V26" s="31"/>
    </row>
    <row r="27" spans="1:22" ht="20.100000000000001" customHeight="1">
      <c r="A27" s="27"/>
      <c r="B27" s="28"/>
      <c r="C27" s="28"/>
      <c r="D27" s="28"/>
      <c r="E27" s="47"/>
      <c r="F27" s="49"/>
      <c r="G27" s="9"/>
      <c r="H27" s="10"/>
      <c r="I27" s="29">
        <f t="shared" si="0"/>
        <v>0</v>
      </c>
      <c r="J27" s="30"/>
      <c r="K27" s="31"/>
      <c r="L27" s="27"/>
      <c r="M27" s="28"/>
      <c r="N27" s="28"/>
      <c r="O27" s="28"/>
      <c r="P27" s="47"/>
      <c r="Q27" s="49"/>
      <c r="R27" s="49"/>
      <c r="S27" s="53"/>
      <c r="T27" s="29">
        <f t="shared" si="1"/>
        <v>0</v>
      </c>
      <c r="U27" s="30"/>
      <c r="V27" s="31"/>
    </row>
    <row r="28" spans="1:22" ht="20.100000000000001" customHeight="1">
      <c r="A28" s="27"/>
      <c r="B28" s="28"/>
      <c r="C28" s="28"/>
      <c r="D28" s="28"/>
      <c r="E28" s="47"/>
      <c r="F28" s="49"/>
      <c r="G28" s="9"/>
      <c r="H28" s="10"/>
      <c r="I28" s="29">
        <f t="shared" si="0"/>
        <v>0</v>
      </c>
      <c r="J28" s="30"/>
      <c r="K28" s="31"/>
      <c r="L28" s="27"/>
      <c r="M28" s="28"/>
      <c r="N28" s="28"/>
      <c r="O28" s="28"/>
      <c r="P28" s="47"/>
      <c r="Q28" s="49"/>
      <c r="R28" s="49"/>
      <c r="S28" s="53"/>
      <c r="T28" s="29">
        <f t="shared" si="1"/>
        <v>0</v>
      </c>
      <c r="U28" s="30"/>
      <c r="V28" s="31"/>
    </row>
    <row r="29" spans="1:22" ht="20.100000000000001" customHeight="1">
      <c r="A29" s="27"/>
      <c r="B29" s="28"/>
      <c r="C29" s="28"/>
      <c r="D29" s="28"/>
      <c r="E29" s="47"/>
      <c r="F29" s="49"/>
      <c r="G29" s="9"/>
      <c r="H29" s="11"/>
      <c r="I29" s="29">
        <f t="shared" si="0"/>
        <v>0</v>
      </c>
      <c r="J29" s="30"/>
      <c r="K29" s="31"/>
      <c r="L29" s="27"/>
      <c r="M29" s="28"/>
      <c r="N29" s="28"/>
      <c r="O29" s="28"/>
      <c r="P29" s="47"/>
      <c r="Q29" s="49"/>
      <c r="R29" s="49"/>
      <c r="S29" s="11"/>
      <c r="T29" s="29">
        <f t="shared" si="1"/>
        <v>0</v>
      </c>
      <c r="U29" s="30"/>
      <c r="V29" s="31"/>
    </row>
    <row r="30" spans="1:22" ht="20.100000000000001" customHeight="1">
      <c r="A30" s="27"/>
      <c r="B30" s="28"/>
      <c r="C30" s="28"/>
      <c r="D30" s="28"/>
      <c r="E30" s="48"/>
      <c r="F30" s="50"/>
      <c r="G30" s="12"/>
      <c r="H30" s="11"/>
      <c r="I30" s="29">
        <f t="shared" si="0"/>
        <v>0</v>
      </c>
      <c r="J30" s="30"/>
      <c r="K30" s="31"/>
      <c r="L30" s="27"/>
      <c r="M30" s="28"/>
      <c r="N30" s="28"/>
      <c r="O30" s="28"/>
      <c r="P30" s="48"/>
      <c r="Q30" s="50"/>
      <c r="R30" s="50"/>
      <c r="S30" s="11"/>
      <c r="T30" s="29">
        <f t="shared" si="1"/>
        <v>0</v>
      </c>
      <c r="U30" s="30"/>
      <c r="V30" s="31"/>
    </row>
    <row r="31" spans="1:22" ht="20.100000000000001" customHeight="1">
      <c r="A31" s="36"/>
      <c r="B31" s="37"/>
      <c r="C31" s="37"/>
      <c r="D31" s="38"/>
      <c r="E31" s="48"/>
      <c r="F31" s="50"/>
      <c r="G31" s="12"/>
      <c r="H31" s="11"/>
      <c r="I31" s="29">
        <f t="shared" si="0"/>
        <v>0</v>
      </c>
      <c r="J31" s="30"/>
      <c r="K31" s="31"/>
      <c r="L31" s="36"/>
      <c r="M31" s="37"/>
      <c r="N31" s="37"/>
      <c r="O31" s="38"/>
      <c r="P31" s="48"/>
      <c r="Q31" s="50"/>
      <c r="R31" s="50"/>
      <c r="S31" s="11"/>
      <c r="T31" s="29">
        <f t="shared" si="1"/>
        <v>0</v>
      </c>
      <c r="U31" s="30"/>
      <c r="V31" s="31"/>
    </row>
    <row r="32" spans="1:22" ht="20.100000000000001" customHeight="1">
      <c r="A32" s="33"/>
      <c r="B32" s="34"/>
      <c r="C32" s="34"/>
      <c r="D32" s="34"/>
      <c r="E32" s="48"/>
      <c r="F32" s="50"/>
      <c r="G32" s="12"/>
      <c r="H32" s="12"/>
      <c r="I32" s="29">
        <f t="shared" si="0"/>
        <v>0</v>
      </c>
      <c r="J32" s="30"/>
      <c r="K32" s="31"/>
      <c r="L32" s="51"/>
      <c r="M32" s="52"/>
      <c r="N32" s="52"/>
      <c r="O32" s="52"/>
      <c r="P32" s="48"/>
      <c r="Q32" s="50"/>
      <c r="R32" s="50"/>
      <c r="S32" s="50"/>
      <c r="T32" s="29">
        <f t="shared" si="1"/>
        <v>0</v>
      </c>
      <c r="U32" s="30"/>
      <c r="V32" s="31"/>
    </row>
    <row r="33" spans="1:22" ht="20.100000000000001" customHeight="1">
      <c r="A33" s="35" t="s">
        <v>21</v>
      </c>
      <c r="B33" s="30"/>
      <c r="C33" s="30"/>
      <c r="D33" s="30"/>
      <c r="E33" s="30"/>
      <c r="F33" s="30"/>
      <c r="G33" s="30"/>
      <c r="H33" s="30"/>
      <c r="I33" s="29">
        <f>SUM(I16:K32)</f>
        <v>0</v>
      </c>
      <c r="J33" s="30"/>
      <c r="K33" s="31"/>
      <c r="L33" s="36"/>
      <c r="M33" s="37"/>
      <c r="N33" s="37"/>
      <c r="O33" s="38"/>
      <c r="P33" s="48"/>
      <c r="Q33" s="50"/>
      <c r="R33" s="50"/>
      <c r="S33" s="11"/>
      <c r="T33" s="29">
        <f t="shared" ref="T33:T34" si="2">S33*Q33</f>
        <v>0</v>
      </c>
      <c r="U33" s="30"/>
      <c r="V33" s="31"/>
    </row>
    <row r="34" spans="1:22" ht="20.100000000000001" customHeight="1">
      <c r="A34" s="35" t="s">
        <v>22</v>
      </c>
      <c r="B34" s="30"/>
      <c r="C34" s="30"/>
      <c r="D34" s="30"/>
      <c r="E34" s="30"/>
      <c r="F34" s="30"/>
      <c r="G34" s="30"/>
      <c r="H34" s="30"/>
      <c r="I34" s="41">
        <f>I33*10%</f>
        <v>0</v>
      </c>
      <c r="J34" s="30"/>
      <c r="K34" s="31"/>
      <c r="L34" s="51"/>
      <c r="M34" s="52"/>
      <c r="N34" s="52"/>
      <c r="O34" s="52"/>
      <c r="P34" s="48"/>
      <c r="Q34" s="50"/>
      <c r="R34" s="50"/>
      <c r="S34" s="50"/>
      <c r="T34" s="29">
        <f t="shared" si="2"/>
        <v>0</v>
      </c>
      <c r="U34" s="30"/>
      <c r="V34" s="31"/>
    </row>
    <row r="35" spans="1:22" ht="20.100000000000001" customHeight="1" thickBot="1">
      <c r="A35" s="42" t="s">
        <v>23</v>
      </c>
      <c r="B35" s="43"/>
      <c r="C35" s="43"/>
      <c r="D35" s="43"/>
      <c r="E35" s="43"/>
      <c r="F35" s="43"/>
      <c r="G35" s="43"/>
      <c r="H35" s="43"/>
      <c r="I35" s="44">
        <f>I33+I34+H27</f>
        <v>0</v>
      </c>
      <c r="J35" s="45"/>
      <c r="K35" s="46"/>
      <c r="L35" s="35" t="s">
        <v>21</v>
      </c>
      <c r="M35" s="30"/>
      <c r="N35" s="30"/>
      <c r="O35" s="30"/>
      <c r="P35" s="30"/>
      <c r="Q35" s="30"/>
      <c r="R35" s="30"/>
      <c r="S35" s="30"/>
      <c r="T35" s="29">
        <f>SUM(T18:V34)</f>
        <v>0</v>
      </c>
      <c r="U35" s="30"/>
      <c r="V35" s="31"/>
    </row>
    <row r="36" spans="1:22" ht="20.100000000000001" customHeight="1">
      <c r="A36" s="39" t="s">
        <v>24</v>
      </c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5" t="s">
        <v>22</v>
      </c>
      <c r="M36" s="30"/>
      <c r="N36" s="30"/>
      <c r="O36" s="30"/>
      <c r="P36" s="30"/>
      <c r="Q36" s="30"/>
      <c r="R36" s="30"/>
      <c r="S36" s="30"/>
      <c r="T36" s="41">
        <f>T35*10%</f>
        <v>0</v>
      </c>
      <c r="U36" s="30"/>
      <c r="V36" s="31"/>
    </row>
    <row r="37" spans="1:22" ht="20.100000000000001" customHeight="1" thickBo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2" t="s">
        <v>23</v>
      </c>
      <c r="M37" s="43"/>
      <c r="N37" s="43"/>
      <c r="O37" s="43"/>
      <c r="P37" s="43"/>
      <c r="Q37" s="43"/>
      <c r="R37" s="43"/>
      <c r="S37" s="43"/>
      <c r="T37" s="44">
        <f>T35+T36+S29</f>
        <v>0</v>
      </c>
      <c r="U37" s="45"/>
      <c r="V37" s="46"/>
    </row>
    <row r="38" spans="1:22" ht="12" customHeight="1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</row>
  </sheetData>
  <mergeCells count="123">
    <mergeCell ref="A36:K37"/>
    <mergeCell ref="A34:H34"/>
    <mergeCell ref="I34:K34"/>
    <mergeCell ref="T34:V34"/>
    <mergeCell ref="A35:H35"/>
    <mergeCell ref="I35:K35"/>
    <mergeCell ref="L35:S35"/>
    <mergeCell ref="T35:V35"/>
    <mergeCell ref="L37:S37"/>
    <mergeCell ref="T37:V37"/>
    <mergeCell ref="L36:S36"/>
    <mergeCell ref="T36:V36"/>
    <mergeCell ref="L34:O34"/>
    <mergeCell ref="A32:D32"/>
    <mergeCell ref="I32:K32"/>
    <mergeCell ref="L32:O32"/>
    <mergeCell ref="T32:V32"/>
    <mergeCell ref="A33:H33"/>
    <mergeCell ref="I33:K33"/>
    <mergeCell ref="T33:V33"/>
    <mergeCell ref="A30:D30"/>
    <mergeCell ref="I30:K30"/>
    <mergeCell ref="L30:O30"/>
    <mergeCell ref="T30:V30"/>
    <mergeCell ref="A31:D31"/>
    <mergeCell ref="I31:K31"/>
    <mergeCell ref="L31:O31"/>
    <mergeCell ref="T31:V31"/>
    <mergeCell ref="L33:O33"/>
    <mergeCell ref="A28:D28"/>
    <mergeCell ref="I28:K28"/>
    <mergeCell ref="L28:O28"/>
    <mergeCell ref="T28:V28"/>
    <mergeCell ref="A29:D29"/>
    <mergeCell ref="I29:K29"/>
    <mergeCell ref="L29:O29"/>
    <mergeCell ref="T29:V29"/>
    <mergeCell ref="A26:D26"/>
    <mergeCell ref="I26:K26"/>
    <mergeCell ref="L26:O26"/>
    <mergeCell ref="T26:V26"/>
    <mergeCell ref="A27:D27"/>
    <mergeCell ref="I27:K27"/>
    <mergeCell ref="L27:O27"/>
    <mergeCell ref="T27:V27"/>
    <mergeCell ref="A24:D24"/>
    <mergeCell ref="I24:K24"/>
    <mergeCell ref="L24:O24"/>
    <mergeCell ref="T24:V24"/>
    <mergeCell ref="A25:D25"/>
    <mergeCell ref="I25:K25"/>
    <mergeCell ref="L25:O25"/>
    <mergeCell ref="T25:V25"/>
    <mergeCell ref="A22:D22"/>
    <mergeCell ref="I22:K22"/>
    <mergeCell ref="L22:O22"/>
    <mergeCell ref="T22:V22"/>
    <mergeCell ref="A23:D23"/>
    <mergeCell ref="I23:K23"/>
    <mergeCell ref="L23:O23"/>
    <mergeCell ref="T23:V23"/>
    <mergeCell ref="A20:D20"/>
    <mergeCell ref="I20:K20"/>
    <mergeCell ref="L20:O20"/>
    <mergeCell ref="T20:V20"/>
    <mergeCell ref="A21:D21"/>
    <mergeCell ref="I21:K21"/>
    <mergeCell ref="L21:O21"/>
    <mergeCell ref="T21:V21"/>
    <mergeCell ref="A18:D18"/>
    <mergeCell ref="I18:K18"/>
    <mergeCell ref="L18:O18"/>
    <mergeCell ref="T18:V18"/>
    <mergeCell ref="A19:D19"/>
    <mergeCell ref="I19:K19"/>
    <mergeCell ref="L19:O19"/>
    <mergeCell ref="T19:V19"/>
    <mergeCell ref="A16:D16"/>
    <mergeCell ref="I16:K16"/>
    <mergeCell ref="L16:O16"/>
    <mergeCell ref="T16:V16"/>
    <mergeCell ref="A17:D17"/>
    <mergeCell ref="I17:K17"/>
    <mergeCell ref="L17:O17"/>
    <mergeCell ref="T17:V17"/>
    <mergeCell ref="A12:G12"/>
    <mergeCell ref="H12:K12"/>
    <mergeCell ref="L12:R12"/>
    <mergeCell ref="S12:V12"/>
    <mergeCell ref="H13:I13"/>
    <mergeCell ref="J13:K13"/>
    <mergeCell ref="S13:T13"/>
    <mergeCell ref="U13:V13"/>
    <mergeCell ref="A11:G11"/>
    <mergeCell ref="H11:I11"/>
    <mergeCell ref="J11:K11"/>
    <mergeCell ref="L11:R11"/>
    <mergeCell ref="S11:T11"/>
    <mergeCell ref="U11:V11"/>
    <mergeCell ref="A10:G10"/>
    <mergeCell ref="H10:I10"/>
    <mergeCell ref="J10:K10"/>
    <mergeCell ref="L10:R10"/>
    <mergeCell ref="S10:T10"/>
    <mergeCell ref="U10:V10"/>
    <mergeCell ref="A1:E2"/>
    <mergeCell ref="F1:G2"/>
    <mergeCell ref="I1:K1"/>
    <mergeCell ref="L1:P2"/>
    <mergeCell ref="Q1:R2"/>
    <mergeCell ref="T1:V1"/>
    <mergeCell ref="A9:F9"/>
    <mergeCell ref="H9:I9"/>
    <mergeCell ref="J9:K9"/>
    <mergeCell ref="L9:Q9"/>
    <mergeCell ref="S9:T9"/>
    <mergeCell ref="U9:V9"/>
    <mergeCell ref="B3:D3"/>
    <mergeCell ref="M3:O3"/>
    <mergeCell ref="J4:K4"/>
    <mergeCell ref="U4:V4"/>
    <mergeCell ref="J5:K5"/>
    <mergeCell ref="U5:V5"/>
  </mergeCells>
  <phoneticPr fontId="2"/>
  <conditionalFormatting sqref="I17:K32">
    <cfRule type="cellIs" dxfId="6" priority="3" operator="equal">
      <formula>0</formula>
    </cfRule>
  </conditionalFormatting>
  <conditionalFormatting sqref="T17:V32">
    <cfRule type="cellIs" dxfId="5" priority="2" operator="equal">
      <formula>0</formula>
    </cfRule>
  </conditionalFormatting>
  <conditionalFormatting sqref="T33:V34">
    <cfRule type="cellIs" dxfId="4" priority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2CDC8-50F2-4AD1-A47C-41C39D0DDB3C}">
  <dimension ref="A1:K38"/>
  <sheetViews>
    <sheetView tabSelected="1" zoomScale="120" zoomScaleNormal="120" workbookViewId="0">
      <selection activeCell="I1" sqref="I1:K1"/>
    </sheetView>
  </sheetViews>
  <sheetFormatPr defaultRowHeight="13.2"/>
  <cols>
    <col min="1" max="4" width="7.109375" customWidth="1"/>
    <col min="5" max="5" width="12.44140625" customWidth="1"/>
    <col min="6" max="7" width="6.6640625" customWidth="1"/>
    <col min="8" max="8" width="9.6640625" customWidth="1"/>
    <col min="9" max="9" width="8.109375" customWidth="1"/>
    <col min="10" max="10" width="7.44140625" customWidth="1"/>
    <col min="11" max="11" width="7.6640625" customWidth="1"/>
    <col min="13" max="13" width="9.21875" bestFit="1" customWidth="1"/>
  </cols>
  <sheetData>
    <row r="1" spans="1:11" ht="24.9" customHeight="1">
      <c r="A1" s="14"/>
      <c r="B1" s="14"/>
      <c r="C1" s="14"/>
      <c r="D1" s="14"/>
      <c r="E1" s="14"/>
      <c r="F1" s="14" t="s">
        <v>0</v>
      </c>
      <c r="G1" s="14"/>
      <c r="I1" s="15" t="s">
        <v>29</v>
      </c>
      <c r="J1" s="16"/>
      <c r="K1" s="16"/>
    </row>
    <row r="2" spans="1:11" ht="24.9" customHeight="1">
      <c r="A2" s="14"/>
      <c r="B2" s="14"/>
      <c r="C2" s="14"/>
      <c r="D2" s="14"/>
      <c r="E2" s="14"/>
      <c r="F2" s="14"/>
      <c r="G2" s="14"/>
      <c r="H2" t="s">
        <v>2</v>
      </c>
      <c r="I2" s="1" t="s">
        <v>3</v>
      </c>
      <c r="J2" s="1"/>
      <c r="K2" s="1"/>
    </row>
    <row r="3" spans="1:11" ht="20.100000000000001" customHeight="1">
      <c r="A3" s="2" t="s">
        <v>4</v>
      </c>
      <c r="B3" s="20" t="s">
        <v>30</v>
      </c>
      <c r="C3" s="20"/>
      <c r="D3" s="20"/>
    </row>
    <row r="4" spans="1:11" ht="20.100000000000001" customHeight="1">
      <c r="H4" s="3" t="s">
        <v>5</v>
      </c>
      <c r="I4" s="4" t="s">
        <v>27</v>
      </c>
      <c r="J4" s="21" t="s">
        <v>28</v>
      </c>
      <c r="K4" s="21"/>
    </row>
    <row r="5" spans="1:11" ht="20.100000000000001" customHeight="1">
      <c r="H5" s="3"/>
      <c r="I5" s="3"/>
      <c r="J5" s="21"/>
      <c r="K5" s="21"/>
    </row>
    <row r="6" spans="1:11" ht="20.100000000000001" customHeight="1">
      <c r="E6" t="s">
        <v>6</v>
      </c>
    </row>
    <row r="7" spans="1:11" ht="20.100000000000001" customHeight="1"/>
    <row r="8" spans="1:11" ht="24.9" customHeight="1"/>
    <row r="9" spans="1:11" ht="24.9" customHeight="1">
      <c r="A9" s="17"/>
      <c r="B9" s="17"/>
      <c r="C9" s="17"/>
      <c r="D9" s="17"/>
      <c r="E9" s="17"/>
      <c r="F9" s="17"/>
      <c r="G9" s="5"/>
      <c r="H9" s="18" t="s">
        <v>7</v>
      </c>
      <c r="I9" s="18"/>
      <c r="J9" s="19" t="s">
        <v>8</v>
      </c>
      <c r="K9" s="19"/>
    </row>
    <row r="10" spans="1:11" ht="24.9" customHeight="1">
      <c r="A10" s="17" t="s">
        <v>26</v>
      </c>
      <c r="B10" s="17"/>
      <c r="C10" s="17"/>
      <c r="D10" s="17"/>
      <c r="E10" s="17"/>
      <c r="F10" s="17"/>
      <c r="G10" s="17"/>
      <c r="H10" s="18" t="s">
        <v>9</v>
      </c>
      <c r="I10" s="18"/>
      <c r="J10" s="19" t="s">
        <v>10</v>
      </c>
      <c r="K10" s="19"/>
    </row>
    <row r="11" spans="1:11" ht="24.9" customHeight="1">
      <c r="A11" s="17"/>
      <c r="B11" s="17"/>
      <c r="C11" s="17"/>
      <c r="D11" s="17"/>
      <c r="E11" s="17"/>
      <c r="F11" s="17"/>
      <c r="G11" s="17"/>
      <c r="H11" s="18" t="s">
        <v>11</v>
      </c>
      <c r="I11" s="18"/>
      <c r="J11" s="19" t="s">
        <v>12</v>
      </c>
      <c r="K11" s="19"/>
    </row>
    <row r="12" spans="1:11" ht="24.9" customHeight="1">
      <c r="A12" s="17"/>
      <c r="B12" s="17"/>
      <c r="C12" s="17"/>
      <c r="D12" s="17"/>
      <c r="E12" s="17"/>
      <c r="F12" s="17"/>
      <c r="G12" s="17"/>
      <c r="H12" s="19" t="s">
        <v>13</v>
      </c>
      <c r="I12" s="19"/>
      <c r="J12" s="19"/>
      <c r="K12" s="19"/>
    </row>
    <row r="13" spans="1:11" ht="24.9" customHeight="1">
      <c r="A13" s="6"/>
      <c r="B13" s="6"/>
      <c r="C13" s="6"/>
      <c r="D13" s="6"/>
      <c r="E13" s="6"/>
      <c r="F13" s="6"/>
      <c r="G13" s="6"/>
      <c r="H13" s="18" t="s">
        <v>14</v>
      </c>
      <c r="I13" s="18"/>
      <c r="J13" s="32">
        <v>372785</v>
      </c>
      <c r="K13" s="32"/>
    </row>
    <row r="14" spans="1:11" ht="20.100000000000001" customHeight="1">
      <c r="A14" s="6"/>
      <c r="B14" s="6"/>
      <c r="C14" s="6"/>
      <c r="D14" s="6"/>
      <c r="E14" s="6"/>
      <c r="F14" s="6"/>
      <c r="G14" s="6"/>
    </row>
    <row r="15" spans="1:11" ht="20.100000000000001" customHeight="1" thickBot="1">
      <c r="C15" s="7"/>
    </row>
    <row r="16" spans="1:11" ht="21.75" customHeight="1">
      <c r="A16" s="22" t="s">
        <v>15</v>
      </c>
      <c r="B16" s="23"/>
      <c r="C16" s="23"/>
      <c r="D16" s="24"/>
      <c r="E16" s="8" t="s">
        <v>16</v>
      </c>
      <c r="F16" s="8" t="s">
        <v>17</v>
      </c>
      <c r="G16" s="8" t="s">
        <v>18</v>
      </c>
      <c r="H16" s="8" t="s">
        <v>19</v>
      </c>
      <c r="I16" s="25" t="s">
        <v>20</v>
      </c>
      <c r="J16" s="25"/>
      <c r="K16" s="26"/>
    </row>
    <row r="17" spans="1:11" ht="20.100000000000001" customHeight="1">
      <c r="A17" s="27"/>
      <c r="B17" s="28"/>
      <c r="C17" s="28"/>
      <c r="D17" s="28"/>
      <c r="E17" s="47"/>
      <c r="F17" s="49"/>
      <c r="G17" s="9"/>
      <c r="H17" s="10"/>
      <c r="I17" s="29">
        <f>H17*F17</f>
        <v>0</v>
      </c>
      <c r="J17" s="30"/>
      <c r="K17" s="31"/>
    </row>
    <row r="18" spans="1:11" ht="20.100000000000001" customHeight="1">
      <c r="A18" s="27"/>
      <c r="B18" s="28"/>
      <c r="C18" s="28"/>
      <c r="D18" s="28"/>
      <c r="E18" s="47"/>
      <c r="F18" s="49"/>
      <c r="G18" s="9"/>
      <c r="H18" s="10"/>
      <c r="I18" s="29">
        <f>H18*F18</f>
        <v>0</v>
      </c>
      <c r="J18" s="30"/>
      <c r="K18" s="31"/>
    </row>
    <row r="19" spans="1:11" ht="20.100000000000001" customHeight="1">
      <c r="A19" s="27"/>
      <c r="B19" s="28"/>
      <c r="C19" s="28"/>
      <c r="D19" s="28"/>
      <c r="E19" s="47"/>
      <c r="F19" s="49"/>
      <c r="G19" s="9"/>
      <c r="H19" s="10"/>
      <c r="I19" s="29">
        <f t="shared" ref="I19:I32" si="0">H19*F19</f>
        <v>0</v>
      </c>
      <c r="J19" s="30"/>
      <c r="K19" s="31"/>
    </row>
    <row r="20" spans="1:11" ht="20.100000000000001" customHeight="1">
      <c r="A20" s="27"/>
      <c r="B20" s="28"/>
      <c r="C20" s="28"/>
      <c r="D20" s="28"/>
      <c r="E20" s="47"/>
      <c r="F20" s="49"/>
      <c r="G20" s="9"/>
      <c r="H20" s="10"/>
      <c r="I20" s="29">
        <f t="shared" si="0"/>
        <v>0</v>
      </c>
      <c r="J20" s="30"/>
      <c r="K20" s="31"/>
    </row>
    <row r="21" spans="1:11" ht="20.100000000000001" customHeight="1">
      <c r="A21" s="27"/>
      <c r="B21" s="28"/>
      <c r="C21" s="28"/>
      <c r="D21" s="28"/>
      <c r="E21" s="47"/>
      <c r="F21" s="49"/>
      <c r="G21" s="9"/>
      <c r="H21" s="10"/>
      <c r="I21" s="29">
        <f t="shared" si="0"/>
        <v>0</v>
      </c>
      <c r="J21" s="30"/>
      <c r="K21" s="31"/>
    </row>
    <row r="22" spans="1:11" ht="20.100000000000001" customHeight="1">
      <c r="A22" s="27"/>
      <c r="B22" s="28"/>
      <c r="C22" s="28"/>
      <c r="D22" s="28"/>
      <c r="E22" s="47"/>
      <c r="F22" s="49"/>
      <c r="G22" s="9"/>
      <c r="H22" s="10"/>
      <c r="I22" s="29">
        <f t="shared" si="0"/>
        <v>0</v>
      </c>
      <c r="J22" s="30"/>
      <c r="K22" s="31"/>
    </row>
    <row r="23" spans="1:11" ht="20.100000000000001" customHeight="1">
      <c r="A23" s="27"/>
      <c r="B23" s="28"/>
      <c r="C23" s="28"/>
      <c r="D23" s="28"/>
      <c r="E23" s="47"/>
      <c r="F23" s="49"/>
      <c r="G23" s="9"/>
      <c r="H23" s="10"/>
      <c r="I23" s="29">
        <f t="shared" si="0"/>
        <v>0</v>
      </c>
      <c r="J23" s="30"/>
      <c r="K23" s="31"/>
    </row>
    <row r="24" spans="1:11" ht="20.100000000000001" customHeight="1">
      <c r="A24" s="27"/>
      <c r="B24" s="28"/>
      <c r="C24" s="28"/>
      <c r="D24" s="28"/>
      <c r="E24" s="47"/>
      <c r="F24" s="49"/>
      <c r="G24" s="9"/>
      <c r="H24" s="10"/>
      <c r="I24" s="29">
        <f t="shared" si="0"/>
        <v>0</v>
      </c>
      <c r="J24" s="30"/>
      <c r="K24" s="31"/>
    </row>
    <row r="25" spans="1:11" ht="20.100000000000001" customHeight="1">
      <c r="A25" s="27"/>
      <c r="B25" s="28"/>
      <c r="C25" s="28"/>
      <c r="D25" s="28"/>
      <c r="E25" s="47"/>
      <c r="F25" s="49"/>
      <c r="G25" s="9"/>
      <c r="H25" s="10"/>
      <c r="I25" s="29">
        <f t="shared" si="0"/>
        <v>0</v>
      </c>
      <c r="J25" s="30"/>
      <c r="K25" s="31"/>
    </row>
    <row r="26" spans="1:11" ht="20.100000000000001" customHeight="1">
      <c r="A26" s="27"/>
      <c r="B26" s="28"/>
      <c r="C26" s="28"/>
      <c r="D26" s="28"/>
      <c r="E26" s="47"/>
      <c r="F26" s="49"/>
      <c r="G26" s="9"/>
      <c r="H26" s="10"/>
      <c r="I26" s="29">
        <f t="shared" si="0"/>
        <v>0</v>
      </c>
      <c r="J26" s="30"/>
      <c r="K26" s="31"/>
    </row>
    <row r="27" spans="1:11" ht="20.100000000000001" customHeight="1">
      <c r="A27" s="27"/>
      <c r="B27" s="28"/>
      <c r="C27" s="28"/>
      <c r="D27" s="28"/>
      <c r="E27" s="47"/>
      <c r="F27" s="49"/>
      <c r="G27" s="9"/>
      <c r="H27" s="10"/>
      <c r="I27" s="29">
        <f t="shared" si="0"/>
        <v>0</v>
      </c>
      <c r="J27" s="30"/>
      <c r="K27" s="31"/>
    </row>
    <row r="28" spans="1:11" ht="20.100000000000001" customHeight="1">
      <c r="A28" s="27"/>
      <c r="B28" s="28"/>
      <c r="C28" s="28"/>
      <c r="D28" s="28"/>
      <c r="E28" s="47"/>
      <c r="F28" s="49"/>
      <c r="G28" s="9"/>
      <c r="H28" s="10"/>
      <c r="I28" s="29">
        <f t="shared" si="0"/>
        <v>0</v>
      </c>
      <c r="J28" s="30"/>
      <c r="K28" s="31"/>
    </row>
    <row r="29" spans="1:11" ht="20.100000000000001" customHeight="1">
      <c r="A29" s="27"/>
      <c r="B29" s="28"/>
      <c r="C29" s="28"/>
      <c r="D29" s="28"/>
      <c r="E29" s="47"/>
      <c r="F29" s="49"/>
      <c r="G29" s="9"/>
      <c r="H29" s="11"/>
      <c r="I29" s="29">
        <f t="shared" si="0"/>
        <v>0</v>
      </c>
      <c r="J29" s="30"/>
      <c r="K29" s="31"/>
    </row>
    <row r="30" spans="1:11" ht="20.100000000000001" customHeight="1">
      <c r="A30" s="27"/>
      <c r="B30" s="28"/>
      <c r="C30" s="28"/>
      <c r="D30" s="28"/>
      <c r="E30" s="48"/>
      <c r="F30" s="50"/>
      <c r="G30" s="12"/>
      <c r="H30" s="11"/>
      <c r="I30" s="29">
        <f t="shared" si="0"/>
        <v>0</v>
      </c>
      <c r="J30" s="30"/>
      <c r="K30" s="31"/>
    </row>
    <row r="31" spans="1:11" ht="20.100000000000001" customHeight="1">
      <c r="A31" s="36"/>
      <c r="B31" s="37"/>
      <c r="C31" s="37"/>
      <c r="D31" s="38"/>
      <c r="E31" s="48"/>
      <c r="F31" s="50"/>
      <c r="G31" s="12"/>
      <c r="H31" s="11"/>
      <c r="I31" s="29">
        <f t="shared" si="0"/>
        <v>0</v>
      </c>
      <c r="J31" s="30"/>
      <c r="K31" s="31"/>
    </row>
    <row r="32" spans="1:11" ht="20.100000000000001" customHeight="1">
      <c r="A32" s="33"/>
      <c r="B32" s="34"/>
      <c r="C32" s="34"/>
      <c r="D32" s="34"/>
      <c r="E32" s="48"/>
      <c r="F32" s="50"/>
      <c r="G32" s="12"/>
      <c r="H32" s="12"/>
      <c r="I32" s="29">
        <f t="shared" si="0"/>
        <v>0</v>
      </c>
      <c r="J32" s="30"/>
      <c r="K32" s="31"/>
    </row>
    <row r="33" spans="1:11" ht="20.100000000000001" customHeight="1">
      <c r="A33" s="35" t="s">
        <v>21</v>
      </c>
      <c r="B33" s="30"/>
      <c r="C33" s="30"/>
      <c r="D33" s="30"/>
      <c r="E33" s="30"/>
      <c r="F33" s="30"/>
      <c r="G33" s="30"/>
      <c r="H33" s="30"/>
      <c r="I33" s="29">
        <f>SUM(I16:K32)</f>
        <v>0</v>
      </c>
      <c r="J33" s="30"/>
      <c r="K33" s="31"/>
    </row>
    <row r="34" spans="1:11" ht="20.100000000000001" customHeight="1">
      <c r="A34" s="35" t="s">
        <v>22</v>
      </c>
      <c r="B34" s="30"/>
      <c r="C34" s="30"/>
      <c r="D34" s="30"/>
      <c r="E34" s="30"/>
      <c r="F34" s="30"/>
      <c r="G34" s="30"/>
      <c r="H34" s="30"/>
      <c r="I34" s="41">
        <f>I33*10%</f>
        <v>0</v>
      </c>
      <c r="J34" s="30"/>
      <c r="K34" s="31"/>
    </row>
    <row r="35" spans="1:11" ht="20.100000000000001" customHeight="1" thickBot="1">
      <c r="A35" s="42" t="s">
        <v>23</v>
      </c>
      <c r="B35" s="43"/>
      <c r="C35" s="43"/>
      <c r="D35" s="43"/>
      <c r="E35" s="43"/>
      <c r="F35" s="43"/>
      <c r="G35" s="43"/>
      <c r="H35" s="43"/>
      <c r="I35" s="44">
        <f>I33+I34+H27</f>
        <v>0</v>
      </c>
      <c r="J35" s="45"/>
      <c r="K35" s="46"/>
    </row>
    <row r="36" spans="1:11" ht="20.100000000000001" customHeight="1">
      <c r="A36" s="39" t="s">
        <v>24</v>
      </c>
      <c r="B36" s="39"/>
      <c r="C36" s="39"/>
      <c r="D36" s="39"/>
      <c r="E36" s="39"/>
      <c r="F36" s="39"/>
      <c r="G36" s="39"/>
      <c r="H36" s="39"/>
      <c r="I36" s="39"/>
      <c r="J36" s="39"/>
      <c r="K36" s="39"/>
    </row>
    <row r="37" spans="1:11" ht="20.100000000000001" customHeigh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</row>
    <row r="38" spans="1:11" ht="12" customHeight="1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</row>
  </sheetData>
  <mergeCells count="60">
    <mergeCell ref="A36:K37"/>
    <mergeCell ref="A34:H34"/>
    <mergeCell ref="I34:K34"/>
    <mergeCell ref="A35:H35"/>
    <mergeCell ref="I35:K35"/>
    <mergeCell ref="A32:D32"/>
    <mergeCell ref="I32:K32"/>
    <mergeCell ref="A33:H33"/>
    <mergeCell ref="I33:K33"/>
    <mergeCell ref="A30:D30"/>
    <mergeCell ref="I30:K30"/>
    <mergeCell ref="A31:D31"/>
    <mergeCell ref="I31:K31"/>
    <mergeCell ref="A28:D28"/>
    <mergeCell ref="I28:K28"/>
    <mergeCell ref="A29:D29"/>
    <mergeCell ref="I29:K29"/>
    <mergeCell ref="A26:D26"/>
    <mergeCell ref="I26:K26"/>
    <mergeCell ref="A27:D27"/>
    <mergeCell ref="I27:K27"/>
    <mergeCell ref="A24:D24"/>
    <mergeCell ref="I24:K24"/>
    <mergeCell ref="A25:D25"/>
    <mergeCell ref="I25:K25"/>
    <mergeCell ref="A22:D22"/>
    <mergeCell ref="I22:K22"/>
    <mergeCell ref="A23:D23"/>
    <mergeCell ref="I23:K23"/>
    <mergeCell ref="A20:D20"/>
    <mergeCell ref="I20:K20"/>
    <mergeCell ref="A21:D21"/>
    <mergeCell ref="I21:K21"/>
    <mergeCell ref="A18:D18"/>
    <mergeCell ref="I18:K18"/>
    <mergeCell ref="A19:D19"/>
    <mergeCell ref="I19:K19"/>
    <mergeCell ref="A16:D16"/>
    <mergeCell ref="I16:K16"/>
    <mergeCell ref="A17:D17"/>
    <mergeCell ref="I17:K17"/>
    <mergeCell ref="A12:G12"/>
    <mergeCell ref="H12:K12"/>
    <mergeCell ref="H13:I13"/>
    <mergeCell ref="J13:K13"/>
    <mergeCell ref="A11:G11"/>
    <mergeCell ref="H11:I11"/>
    <mergeCell ref="J11:K11"/>
    <mergeCell ref="A10:G10"/>
    <mergeCell ref="H10:I10"/>
    <mergeCell ref="J10:K10"/>
    <mergeCell ref="A9:F9"/>
    <mergeCell ref="H9:I9"/>
    <mergeCell ref="J9:K9"/>
    <mergeCell ref="B3:D3"/>
    <mergeCell ref="J4:K4"/>
    <mergeCell ref="J5:K5"/>
    <mergeCell ref="A1:E2"/>
    <mergeCell ref="F1:G2"/>
    <mergeCell ref="I1:K1"/>
  </mergeCells>
  <phoneticPr fontId="2"/>
  <conditionalFormatting sqref="I17:K32">
    <cfRule type="cellIs" dxfId="3" priority="3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A9615-F025-4430-A3A8-2883292A3298}">
  <dimension ref="A1:V38"/>
  <sheetViews>
    <sheetView zoomScale="120" zoomScaleNormal="120" workbookViewId="0">
      <selection activeCell="P8" sqref="P8"/>
    </sheetView>
  </sheetViews>
  <sheetFormatPr defaultRowHeight="13.2"/>
  <cols>
    <col min="1" max="4" width="7.109375" customWidth="1"/>
    <col min="5" max="5" width="12.44140625" customWidth="1"/>
    <col min="6" max="7" width="6.6640625" customWidth="1"/>
    <col min="8" max="8" width="9.6640625" customWidth="1"/>
    <col min="9" max="9" width="8.109375" customWidth="1"/>
    <col min="10" max="10" width="7.44140625" customWidth="1"/>
    <col min="11" max="14" width="7.6640625" customWidth="1"/>
    <col min="15" max="15" width="9.6640625" customWidth="1"/>
    <col min="16" max="16" width="10.6640625" customWidth="1"/>
    <col min="17" max="17" width="6.6640625" customWidth="1"/>
    <col min="18" max="18" width="7.109375" customWidth="1"/>
    <col min="19" max="19" width="8.6640625" customWidth="1"/>
    <col min="20" max="21" width="7.6640625" customWidth="1"/>
    <col min="22" max="22" width="7.44140625" customWidth="1"/>
    <col min="24" max="24" width="9.21875" bestFit="1" customWidth="1"/>
  </cols>
  <sheetData>
    <row r="1" spans="1:22" ht="24.9" customHeight="1">
      <c r="A1" s="15" t="s">
        <v>32</v>
      </c>
      <c r="B1" s="15"/>
      <c r="C1" s="15"/>
      <c r="D1" s="54" t="s">
        <v>33</v>
      </c>
      <c r="E1" s="54"/>
      <c r="F1" s="14" t="s">
        <v>0</v>
      </c>
      <c r="G1" s="14"/>
      <c r="I1" s="15" t="s">
        <v>1</v>
      </c>
      <c r="J1" s="16"/>
      <c r="K1" s="16"/>
      <c r="L1" s="15" t="s">
        <v>32</v>
      </c>
      <c r="M1" s="15"/>
      <c r="N1" s="15"/>
      <c r="O1" s="54" t="s">
        <v>33</v>
      </c>
      <c r="P1" s="54"/>
      <c r="Q1" s="14" t="s">
        <v>0</v>
      </c>
      <c r="R1" s="14"/>
      <c r="T1" s="15" t="s">
        <v>35</v>
      </c>
      <c r="U1" s="16"/>
      <c r="V1" s="16"/>
    </row>
    <row r="2" spans="1:22" ht="24.9" customHeight="1">
      <c r="A2" s="15"/>
      <c r="B2" s="15"/>
      <c r="C2" s="15"/>
      <c r="D2" s="54" t="s">
        <v>34</v>
      </c>
      <c r="E2" s="54"/>
      <c r="F2" s="14"/>
      <c r="G2" s="14"/>
      <c r="H2" t="s">
        <v>2</v>
      </c>
      <c r="I2" s="1" t="s">
        <v>3</v>
      </c>
      <c r="J2" s="1"/>
      <c r="K2" s="1"/>
      <c r="L2" s="15"/>
      <c r="M2" s="15"/>
      <c r="N2" s="15"/>
      <c r="O2" s="54" t="s">
        <v>34</v>
      </c>
      <c r="P2" s="54"/>
      <c r="Q2" s="14"/>
      <c r="R2" s="14"/>
      <c r="S2" t="s">
        <v>2</v>
      </c>
      <c r="T2" s="1" t="s">
        <v>3</v>
      </c>
      <c r="U2" s="1"/>
      <c r="V2" s="1"/>
    </row>
    <row r="3" spans="1:22" ht="20.100000000000001" customHeight="1">
      <c r="A3" s="2" t="s">
        <v>4</v>
      </c>
      <c r="B3" s="20" t="s">
        <v>37</v>
      </c>
      <c r="C3" s="20"/>
      <c r="D3" s="20"/>
      <c r="L3" s="2" t="s">
        <v>4</v>
      </c>
      <c r="M3" s="20" t="s">
        <v>37</v>
      </c>
      <c r="N3" s="20"/>
      <c r="O3" s="20"/>
    </row>
    <row r="4" spans="1:22" ht="20.100000000000001" customHeight="1">
      <c r="H4" s="3" t="s">
        <v>5</v>
      </c>
      <c r="I4" s="4" t="s">
        <v>27</v>
      </c>
      <c r="J4" s="21" t="s">
        <v>28</v>
      </c>
      <c r="K4" s="21"/>
      <c r="S4" s="3" t="s">
        <v>5</v>
      </c>
      <c r="T4" s="4" t="s">
        <v>27</v>
      </c>
      <c r="U4" s="21" t="s">
        <v>28</v>
      </c>
      <c r="V4" s="21"/>
    </row>
    <row r="5" spans="1:22" ht="20.100000000000001" customHeight="1">
      <c r="H5" s="3"/>
      <c r="I5" s="3"/>
      <c r="J5" s="21"/>
      <c r="K5" s="21"/>
      <c r="S5" s="3"/>
      <c r="T5" s="3"/>
      <c r="U5" s="21"/>
      <c r="V5" s="21"/>
    </row>
    <row r="6" spans="1:22" ht="20.100000000000001" customHeight="1">
      <c r="E6" t="s">
        <v>6</v>
      </c>
      <c r="P6" t="s">
        <v>6</v>
      </c>
    </row>
    <row r="7" spans="1:22" ht="20.100000000000001" customHeight="1"/>
    <row r="8" spans="1:22" ht="24.9" customHeight="1"/>
    <row r="9" spans="1:22" ht="24.9" customHeight="1">
      <c r="A9" s="17"/>
      <c r="B9" s="17"/>
      <c r="C9" s="17"/>
      <c r="D9" s="17"/>
      <c r="E9" s="17"/>
      <c r="F9" s="17"/>
      <c r="G9" s="5"/>
      <c r="H9" s="18" t="s">
        <v>7</v>
      </c>
      <c r="I9" s="18"/>
      <c r="J9" s="19" t="s">
        <v>8</v>
      </c>
      <c r="K9" s="19"/>
      <c r="L9" s="17"/>
      <c r="M9" s="17"/>
      <c r="N9" s="17"/>
      <c r="O9" s="17"/>
      <c r="P9" s="17"/>
      <c r="Q9" s="17"/>
      <c r="R9" s="5"/>
      <c r="S9" s="18"/>
      <c r="T9" s="18"/>
      <c r="U9" s="19"/>
      <c r="V9" s="19"/>
    </row>
    <row r="10" spans="1:22" ht="24.9" customHeight="1">
      <c r="A10" s="17" t="s">
        <v>26</v>
      </c>
      <c r="B10" s="17"/>
      <c r="C10" s="17"/>
      <c r="D10" s="17"/>
      <c r="E10" s="17"/>
      <c r="F10" s="17"/>
      <c r="G10" s="17"/>
      <c r="H10" s="18" t="s">
        <v>9</v>
      </c>
      <c r="I10" s="18"/>
      <c r="J10" s="19" t="s">
        <v>10</v>
      </c>
      <c r="K10" s="19"/>
      <c r="L10" s="17" t="s">
        <v>26</v>
      </c>
      <c r="M10" s="17"/>
      <c r="N10" s="17"/>
      <c r="O10" s="17"/>
      <c r="P10" s="17"/>
      <c r="Q10" s="17"/>
      <c r="R10" s="17"/>
      <c r="S10" s="18"/>
      <c r="T10" s="18"/>
      <c r="U10" s="19"/>
      <c r="V10" s="19"/>
    </row>
    <row r="11" spans="1:22" ht="24.9" customHeight="1">
      <c r="A11" s="17"/>
      <c r="B11" s="17"/>
      <c r="C11" s="17"/>
      <c r="D11" s="17"/>
      <c r="E11" s="17"/>
      <c r="F11" s="17"/>
      <c r="G11" s="17"/>
      <c r="H11" s="18" t="s">
        <v>11</v>
      </c>
      <c r="I11" s="18"/>
      <c r="J11" s="19" t="s">
        <v>12</v>
      </c>
      <c r="K11" s="19"/>
      <c r="L11" s="17"/>
      <c r="M11" s="17"/>
      <c r="N11" s="17"/>
      <c r="O11" s="17"/>
      <c r="P11" s="17"/>
      <c r="Q11" s="17"/>
      <c r="R11" s="17"/>
      <c r="S11" s="18"/>
      <c r="T11" s="18"/>
      <c r="U11" s="19"/>
      <c r="V11" s="19"/>
    </row>
    <row r="12" spans="1:22" ht="24.9" customHeight="1">
      <c r="A12" s="17"/>
      <c r="B12" s="17"/>
      <c r="C12" s="17"/>
      <c r="D12" s="17"/>
      <c r="E12" s="17"/>
      <c r="F12" s="17"/>
      <c r="G12" s="17"/>
      <c r="H12" s="19" t="s">
        <v>13</v>
      </c>
      <c r="I12" s="19"/>
      <c r="J12" s="19"/>
      <c r="K12" s="19"/>
      <c r="L12" s="17"/>
      <c r="M12" s="17"/>
      <c r="N12" s="17"/>
      <c r="O12" s="17"/>
      <c r="P12" s="17"/>
      <c r="Q12" s="17"/>
      <c r="R12" s="17"/>
      <c r="S12" s="19"/>
      <c r="T12" s="19"/>
      <c r="U12" s="19"/>
      <c r="V12" s="19"/>
    </row>
    <row r="13" spans="1:22" ht="24.9" customHeight="1">
      <c r="A13" s="6"/>
      <c r="B13" s="6"/>
      <c r="C13" s="6"/>
      <c r="D13" s="6"/>
      <c r="E13" s="6"/>
      <c r="F13" s="6"/>
      <c r="G13" s="6"/>
      <c r="H13" s="18" t="s">
        <v>14</v>
      </c>
      <c r="I13" s="18"/>
      <c r="J13" s="32">
        <v>372785</v>
      </c>
      <c r="K13" s="32"/>
      <c r="L13" s="6"/>
      <c r="M13" s="6"/>
      <c r="N13" s="6"/>
      <c r="O13" s="6"/>
      <c r="P13" s="6"/>
      <c r="Q13" s="6"/>
      <c r="R13" s="6"/>
      <c r="S13" s="18"/>
      <c r="T13" s="18"/>
      <c r="U13" s="32"/>
      <c r="V13" s="32"/>
    </row>
    <row r="14" spans="1:22" ht="20.100000000000001" customHeight="1">
      <c r="A14" s="6"/>
      <c r="B14" s="6"/>
      <c r="C14" s="6"/>
      <c r="D14" s="6"/>
      <c r="E14" s="6"/>
      <c r="F14" s="6"/>
      <c r="G14" s="6"/>
      <c r="L14" s="6"/>
      <c r="M14" s="6"/>
      <c r="N14" s="6"/>
      <c r="O14" s="6"/>
      <c r="P14" s="6"/>
      <c r="Q14" s="6"/>
      <c r="R14" s="6"/>
    </row>
    <row r="15" spans="1:22" ht="20.100000000000001" customHeight="1" thickBot="1">
      <c r="C15" s="7"/>
      <c r="N15" s="7"/>
    </row>
    <row r="16" spans="1:22" ht="21.75" customHeight="1">
      <c r="A16" s="22" t="s">
        <v>15</v>
      </c>
      <c r="B16" s="23"/>
      <c r="C16" s="23"/>
      <c r="D16" s="24"/>
      <c r="E16" s="8" t="s">
        <v>16</v>
      </c>
      <c r="F16" s="8" t="s">
        <v>17</v>
      </c>
      <c r="G16" s="8" t="s">
        <v>18</v>
      </c>
      <c r="H16" s="8" t="s">
        <v>19</v>
      </c>
      <c r="I16" s="25" t="s">
        <v>20</v>
      </c>
      <c r="J16" s="25"/>
      <c r="K16" s="26"/>
      <c r="L16" s="22" t="s">
        <v>15</v>
      </c>
      <c r="M16" s="23"/>
      <c r="N16" s="23"/>
      <c r="O16" s="24"/>
      <c r="P16" s="8" t="s">
        <v>16</v>
      </c>
      <c r="Q16" s="8" t="s">
        <v>17</v>
      </c>
      <c r="R16" s="8" t="s">
        <v>18</v>
      </c>
      <c r="S16" s="8" t="s">
        <v>19</v>
      </c>
      <c r="T16" s="25" t="s">
        <v>20</v>
      </c>
      <c r="U16" s="25"/>
      <c r="V16" s="26"/>
    </row>
    <row r="17" spans="1:22" ht="20.100000000000001" customHeight="1">
      <c r="A17" s="27" t="s">
        <v>36</v>
      </c>
      <c r="B17" s="28"/>
      <c r="C17" s="28"/>
      <c r="D17" s="28"/>
      <c r="E17" s="47"/>
      <c r="F17" s="49"/>
      <c r="G17" s="9"/>
      <c r="H17" s="10"/>
      <c r="I17" s="29">
        <f>T33</f>
        <v>0</v>
      </c>
      <c r="J17" s="30"/>
      <c r="K17" s="31"/>
      <c r="L17" s="27"/>
      <c r="M17" s="28"/>
      <c r="N17" s="28"/>
      <c r="O17" s="28"/>
      <c r="P17" s="47"/>
      <c r="Q17" s="49"/>
      <c r="R17" s="49"/>
      <c r="S17" s="53"/>
      <c r="T17" s="29">
        <f>S17*Q17</f>
        <v>0</v>
      </c>
      <c r="U17" s="30"/>
      <c r="V17" s="31"/>
    </row>
    <row r="18" spans="1:22" ht="20.100000000000001" customHeight="1">
      <c r="A18" s="27"/>
      <c r="B18" s="28"/>
      <c r="C18" s="28"/>
      <c r="D18" s="28"/>
      <c r="E18" s="47"/>
      <c r="F18" s="49"/>
      <c r="G18" s="9"/>
      <c r="H18" s="10"/>
      <c r="I18" s="29">
        <f>H18*F18</f>
        <v>0</v>
      </c>
      <c r="J18" s="30"/>
      <c r="K18" s="31"/>
      <c r="L18" s="27"/>
      <c r="M18" s="28"/>
      <c r="N18" s="28"/>
      <c r="O18" s="28"/>
      <c r="P18" s="47"/>
      <c r="Q18" s="49"/>
      <c r="R18" s="49"/>
      <c r="S18" s="53"/>
      <c r="T18" s="29">
        <f>S18*Q18</f>
        <v>0</v>
      </c>
      <c r="U18" s="30"/>
      <c r="V18" s="31"/>
    </row>
    <row r="19" spans="1:22" ht="20.100000000000001" customHeight="1">
      <c r="A19" s="27"/>
      <c r="B19" s="28"/>
      <c r="C19" s="28"/>
      <c r="D19" s="28"/>
      <c r="E19" s="47"/>
      <c r="F19" s="49"/>
      <c r="G19" s="9"/>
      <c r="H19" s="10"/>
      <c r="I19" s="29">
        <f t="shared" ref="I19:I32" si="0">H19*F19</f>
        <v>0</v>
      </c>
      <c r="J19" s="30"/>
      <c r="K19" s="31"/>
      <c r="L19" s="27"/>
      <c r="M19" s="28"/>
      <c r="N19" s="28"/>
      <c r="O19" s="28"/>
      <c r="P19" s="47"/>
      <c r="Q19" s="49"/>
      <c r="R19" s="49"/>
      <c r="S19" s="53"/>
      <c r="T19" s="29">
        <f t="shared" ref="T19:T34" si="1">S19*Q19</f>
        <v>0</v>
      </c>
      <c r="U19" s="30"/>
      <c r="V19" s="31"/>
    </row>
    <row r="20" spans="1:22" ht="20.100000000000001" customHeight="1">
      <c r="A20" s="27"/>
      <c r="B20" s="28"/>
      <c r="C20" s="28"/>
      <c r="D20" s="28"/>
      <c r="E20" s="47"/>
      <c r="F20" s="49"/>
      <c r="G20" s="9"/>
      <c r="H20" s="10"/>
      <c r="I20" s="29">
        <f t="shared" si="0"/>
        <v>0</v>
      </c>
      <c r="J20" s="30"/>
      <c r="K20" s="31"/>
      <c r="L20" s="27"/>
      <c r="M20" s="28"/>
      <c r="N20" s="28"/>
      <c r="O20" s="28"/>
      <c r="P20" s="47"/>
      <c r="Q20" s="49"/>
      <c r="R20" s="49"/>
      <c r="S20" s="53"/>
      <c r="T20" s="29">
        <f t="shared" si="1"/>
        <v>0</v>
      </c>
      <c r="U20" s="30"/>
      <c r="V20" s="31"/>
    </row>
    <row r="21" spans="1:22" ht="20.100000000000001" customHeight="1">
      <c r="A21" s="27"/>
      <c r="B21" s="28"/>
      <c r="C21" s="28"/>
      <c r="D21" s="28"/>
      <c r="E21" s="47"/>
      <c r="F21" s="49"/>
      <c r="G21" s="9"/>
      <c r="H21" s="10"/>
      <c r="I21" s="29">
        <f t="shared" si="0"/>
        <v>0</v>
      </c>
      <c r="J21" s="30"/>
      <c r="K21" s="31"/>
      <c r="L21" s="27"/>
      <c r="M21" s="28"/>
      <c r="N21" s="28"/>
      <c r="O21" s="28"/>
      <c r="P21" s="47"/>
      <c r="Q21" s="49"/>
      <c r="R21" s="49"/>
      <c r="S21" s="53"/>
      <c r="T21" s="29">
        <f t="shared" si="1"/>
        <v>0</v>
      </c>
      <c r="U21" s="30"/>
      <c r="V21" s="31"/>
    </row>
    <row r="22" spans="1:22" ht="20.100000000000001" customHeight="1">
      <c r="A22" s="27"/>
      <c r="B22" s="28"/>
      <c r="C22" s="28"/>
      <c r="D22" s="28"/>
      <c r="E22" s="47"/>
      <c r="F22" s="49"/>
      <c r="G22" s="9"/>
      <c r="H22" s="10"/>
      <c r="I22" s="29">
        <f t="shared" si="0"/>
        <v>0</v>
      </c>
      <c r="J22" s="30"/>
      <c r="K22" s="31"/>
      <c r="L22" s="27"/>
      <c r="M22" s="28"/>
      <c r="N22" s="28"/>
      <c r="O22" s="28"/>
      <c r="P22" s="47"/>
      <c r="Q22" s="49"/>
      <c r="R22" s="49"/>
      <c r="S22" s="53"/>
      <c r="T22" s="29">
        <f t="shared" si="1"/>
        <v>0</v>
      </c>
      <c r="U22" s="30"/>
      <c r="V22" s="31"/>
    </row>
    <row r="23" spans="1:22" ht="20.100000000000001" customHeight="1">
      <c r="A23" s="27"/>
      <c r="B23" s="28"/>
      <c r="C23" s="28"/>
      <c r="D23" s="28"/>
      <c r="E23" s="47"/>
      <c r="F23" s="49"/>
      <c r="G23" s="9"/>
      <c r="H23" s="10"/>
      <c r="I23" s="29">
        <f t="shared" si="0"/>
        <v>0</v>
      </c>
      <c r="J23" s="30"/>
      <c r="K23" s="31"/>
      <c r="L23" s="27"/>
      <c r="M23" s="28"/>
      <c r="N23" s="28"/>
      <c r="O23" s="28"/>
      <c r="P23" s="47"/>
      <c r="Q23" s="49"/>
      <c r="R23" s="49"/>
      <c r="S23" s="53"/>
      <c r="T23" s="29">
        <f t="shared" si="1"/>
        <v>0</v>
      </c>
      <c r="U23" s="30"/>
      <c r="V23" s="31"/>
    </row>
    <row r="24" spans="1:22" ht="20.100000000000001" customHeight="1">
      <c r="A24" s="27"/>
      <c r="B24" s="28"/>
      <c r="C24" s="28"/>
      <c r="D24" s="28"/>
      <c r="E24" s="47"/>
      <c r="F24" s="49"/>
      <c r="G24" s="9"/>
      <c r="H24" s="10"/>
      <c r="I24" s="29">
        <f t="shared" si="0"/>
        <v>0</v>
      </c>
      <c r="J24" s="30"/>
      <c r="K24" s="31"/>
      <c r="L24" s="27"/>
      <c r="M24" s="28"/>
      <c r="N24" s="28"/>
      <c r="O24" s="28"/>
      <c r="P24" s="47"/>
      <c r="Q24" s="49"/>
      <c r="R24" s="49"/>
      <c r="S24" s="53"/>
      <c r="T24" s="29">
        <f t="shared" si="1"/>
        <v>0</v>
      </c>
      <c r="U24" s="30"/>
      <c r="V24" s="31"/>
    </row>
    <row r="25" spans="1:22" ht="20.100000000000001" customHeight="1">
      <c r="A25" s="27"/>
      <c r="B25" s="28"/>
      <c r="C25" s="28"/>
      <c r="D25" s="28"/>
      <c r="E25" s="47"/>
      <c r="F25" s="49"/>
      <c r="G25" s="9"/>
      <c r="H25" s="10"/>
      <c r="I25" s="29">
        <f t="shared" si="0"/>
        <v>0</v>
      </c>
      <c r="J25" s="30"/>
      <c r="K25" s="31"/>
      <c r="L25" s="27"/>
      <c r="M25" s="28"/>
      <c r="N25" s="28"/>
      <c r="O25" s="28"/>
      <c r="P25" s="47"/>
      <c r="Q25" s="49"/>
      <c r="R25" s="49"/>
      <c r="S25" s="53"/>
      <c r="T25" s="29">
        <f t="shared" si="1"/>
        <v>0</v>
      </c>
      <c r="U25" s="30"/>
      <c r="V25" s="31"/>
    </row>
    <row r="26" spans="1:22" ht="20.100000000000001" customHeight="1">
      <c r="A26" s="27"/>
      <c r="B26" s="28"/>
      <c r="C26" s="28"/>
      <c r="D26" s="28"/>
      <c r="E26" s="47"/>
      <c r="F26" s="49"/>
      <c r="G26" s="9"/>
      <c r="H26" s="10"/>
      <c r="I26" s="29">
        <f t="shared" si="0"/>
        <v>0</v>
      </c>
      <c r="J26" s="30"/>
      <c r="K26" s="31"/>
      <c r="L26" s="27"/>
      <c r="M26" s="28"/>
      <c r="N26" s="28"/>
      <c r="O26" s="28"/>
      <c r="P26" s="47"/>
      <c r="Q26" s="49"/>
      <c r="R26" s="49"/>
      <c r="S26" s="53"/>
      <c r="T26" s="29">
        <f t="shared" si="1"/>
        <v>0</v>
      </c>
      <c r="U26" s="30"/>
      <c r="V26" s="31"/>
    </row>
    <row r="27" spans="1:22" ht="20.100000000000001" customHeight="1">
      <c r="A27" s="27"/>
      <c r="B27" s="28"/>
      <c r="C27" s="28"/>
      <c r="D27" s="28"/>
      <c r="E27" s="47"/>
      <c r="F27" s="49"/>
      <c r="G27" s="9"/>
      <c r="H27" s="10"/>
      <c r="I27" s="29">
        <f t="shared" si="0"/>
        <v>0</v>
      </c>
      <c r="J27" s="30"/>
      <c r="K27" s="31"/>
      <c r="L27" s="27"/>
      <c r="M27" s="28"/>
      <c r="N27" s="28"/>
      <c r="O27" s="28"/>
      <c r="P27" s="47"/>
      <c r="Q27" s="49"/>
      <c r="R27" s="49"/>
      <c r="S27" s="53"/>
      <c r="T27" s="29">
        <f t="shared" si="1"/>
        <v>0</v>
      </c>
      <c r="U27" s="30"/>
      <c r="V27" s="31"/>
    </row>
    <row r="28" spans="1:22" ht="20.100000000000001" customHeight="1">
      <c r="A28" s="27"/>
      <c r="B28" s="28"/>
      <c r="C28" s="28"/>
      <c r="D28" s="28"/>
      <c r="E28" s="47"/>
      <c r="F28" s="49"/>
      <c r="G28" s="9"/>
      <c r="H28" s="10"/>
      <c r="I28" s="29">
        <f t="shared" si="0"/>
        <v>0</v>
      </c>
      <c r="J28" s="30"/>
      <c r="K28" s="31"/>
      <c r="L28" s="27"/>
      <c r="M28" s="28"/>
      <c r="N28" s="28"/>
      <c r="O28" s="28"/>
      <c r="P28" s="47"/>
      <c r="Q28" s="49"/>
      <c r="R28" s="49"/>
      <c r="S28" s="53"/>
      <c r="T28" s="29">
        <f t="shared" si="1"/>
        <v>0</v>
      </c>
      <c r="U28" s="30"/>
      <c r="V28" s="31"/>
    </row>
    <row r="29" spans="1:22" ht="20.100000000000001" customHeight="1">
      <c r="A29" s="27"/>
      <c r="B29" s="28"/>
      <c r="C29" s="28"/>
      <c r="D29" s="28"/>
      <c r="E29" s="47"/>
      <c r="F29" s="49"/>
      <c r="G29" s="9"/>
      <c r="H29" s="11"/>
      <c r="I29" s="29">
        <f t="shared" si="0"/>
        <v>0</v>
      </c>
      <c r="J29" s="30"/>
      <c r="K29" s="31"/>
      <c r="L29" s="27"/>
      <c r="M29" s="28"/>
      <c r="N29" s="28"/>
      <c r="O29" s="28"/>
      <c r="P29" s="47"/>
      <c r="Q29" s="49"/>
      <c r="R29" s="49"/>
      <c r="S29" s="11"/>
      <c r="T29" s="29">
        <f t="shared" si="1"/>
        <v>0</v>
      </c>
      <c r="U29" s="30"/>
      <c r="V29" s="31"/>
    </row>
    <row r="30" spans="1:22" ht="20.100000000000001" customHeight="1">
      <c r="A30" s="27"/>
      <c r="B30" s="28"/>
      <c r="C30" s="28"/>
      <c r="D30" s="28"/>
      <c r="E30" s="48"/>
      <c r="F30" s="50"/>
      <c r="G30" s="12"/>
      <c r="H30" s="11"/>
      <c r="I30" s="29">
        <f t="shared" si="0"/>
        <v>0</v>
      </c>
      <c r="J30" s="30"/>
      <c r="K30" s="31"/>
      <c r="L30" s="27"/>
      <c r="M30" s="28"/>
      <c r="N30" s="28"/>
      <c r="O30" s="28"/>
      <c r="P30" s="48"/>
      <c r="Q30" s="50"/>
      <c r="R30" s="50"/>
      <c r="S30" s="11"/>
      <c r="T30" s="29">
        <f t="shared" si="1"/>
        <v>0</v>
      </c>
      <c r="U30" s="30"/>
      <c r="V30" s="31"/>
    </row>
    <row r="31" spans="1:22" ht="20.100000000000001" customHeight="1">
      <c r="A31" s="36"/>
      <c r="B31" s="37"/>
      <c r="C31" s="37"/>
      <c r="D31" s="38"/>
      <c r="E31" s="48"/>
      <c r="F31" s="50"/>
      <c r="G31" s="12"/>
      <c r="H31" s="11"/>
      <c r="I31" s="29">
        <f t="shared" si="0"/>
        <v>0</v>
      </c>
      <c r="J31" s="30"/>
      <c r="K31" s="31"/>
      <c r="L31" s="36"/>
      <c r="M31" s="37"/>
      <c r="N31" s="37"/>
      <c r="O31" s="38"/>
      <c r="P31" s="48"/>
      <c r="Q31" s="50"/>
      <c r="R31" s="50"/>
      <c r="S31" s="11"/>
      <c r="T31" s="29">
        <f t="shared" si="1"/>
        <v>0</v>
      </c>
      <c r="U31" s="30"/>
      <c r="V31" s="31"/>
    </row>
    <row r="32" spans="1:22" ht="20.100000000000001" customHeight="1">
      <c r="A32" s="33"/>
      <c r="B32" s="34"/>
      <c r="C32" s="34"/>
      <c r="D32" s="34"/>
      <c r="E32" s="48"/>
      <c r="F32" s="50"/>
      <c r="G32" s="12"/>
      <c r="H32" s="12"/>
      <c r="I32" s="29">
        <f t="shared" si="0"/>
        <v>0</v>
      </c>
      <c r="J32" s="30"/>
      <c r="K32" s="31"/>
      <c r="L32" s="51"/>
      <c r="M32" s="52"/>
      <c r="N32" s="52"/>
      <c r="O32" s="52"/>
      <c r="P32" s="48"/>
      <c r="Q32" s="50"/>
      <c r="R32" s="50"/>
      <c r="S32" s="50"/>
      <c r="T32" s="29">
        <f t="shared" si="1"/>
        <v>0</v>
      </c>
      <c r="U32" s="30"/>
      <c r="V32" s="31"/>
    </row>
    <row r="33" spans="1:22" ht="20.100000000000001" customHeight="1">
      <c r="A33" s="35" t="s">
        <v>21</v>
      </c>
      <c r="B33" s="30"/>
      <c r="C33" s="30"/>
      <c r="D33" s="30"/>
      <c r="E33" s="30"/>
      <c r="F33" s="30"/>
      <c r="G33" s="30"/>
      <c r="H33" s="30"/>
      <c r="I33" s="29">
        <f>SUM(I16:K32)</f>
        <v>0</v>
      </c>
      <c r="J33" s="30"/>
      <c r="K33" s="31"/>
      <c r="L33" s="36"/>
      <c r="M33" s="37"/>
      <c r="N33" s="37"/>
      <c r="O33" s="38"/>
      <c r="P33" s="48"/>
      <c r="Q33" s="50"/>
      <c r="R33" s="50"/>
      <c r="S33" s="11"/>
      <c r="T33" s="29">
        <f t="shared" si="1"/>
        <v>0</v>
      </c>
      <c r="U33" s="30"/>
      <c r="V33" s="31"/>
    </row>
    <row r="34" spans="1:22" ht="20.100000000000001" customHeight="1">
      <c r="A34" s="35" t="s">
        <v>22</v>
      </c>
      <c r="B34" s="30"/>
      <c r="C34" s="30"/>
      <c r="D34" s="30"/>
      <c r="E34" s="30"/>
      <c r="F34" s="30"/>
      <c r="G34" s="30"/>
      <c r="H34" s="30"/>
      <c r="I34" s="41">
        <f>I33*10%</f>
        <v>0</v>
      </c>
      <c r="J34" s="30"/>
      <c r="K34" s="31"/>
      <c r="L34" s="51"/>
      <c r="M34" s="52"/>
      <c r="N34" s="52"/>
      <c r="O34" s="52"/>
      <c r="P34" s="48"/>
      <c r="Q34" s="50"/>
      <c r="R34" s="50"/>
      <c r="S34" s="50"/>
      <c r="T34" s="29">
        <f t="shared" si="1"/>
        <v>0</v>
      </c>
      <c r="U34" s="30"/>
      <c r="V34" s="31"/>
    </row>
    <row r="35" spans="1:22" ht="20.100000000000001" customHeight="1" thickBot="1">
      <c r="A35" s="42" t="s">
        <v>23</v>
      </c>
      <c r="B35" s="43"/>
      <c r="C35" s="43"/>
      <c r="D35" s="43"/>
      <c r="E35" s="43"/>
      <c r="F35" s="43"/>
      <c r="G35" s="43"/>
      <c r="H35" s="43"/>
      <c r="I35" s="44">
        <f>I33+I34+H27</f>
        <v>0</v>
      </c>
      <c r="J35" s="45"/>
      <c r="K35" s="46"/>
      <c r="L35" s="35" t="s">
        <v>21</v>
      </c>
      <c r="M35" s="30"/>
      <c r="N35" s="30"/>
      <c r="O35" s="30"/>
      <c r="P35" s="30"/>
      <c r="Q35" s="30"/>
      <c r="R35" s="30"/>
      <c r="S35" s="30"/>
      <c r="T35" s="29">
        <f>SUM(T18:V34)</f>
        <v>0</v>
      </c>
      <c r="U35" s="30"/>
      <c r="V35" s="31"/>
    </row>
    <row r="36" spans="1:22" ht="20.100000000000001" customHeight="1">
      <c r="A36" s="39" t="s">
        <v>24</v>
      </c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5" t="s">
        <v>22</v>
      </c>
      <c r="M36" s="30"/>
      <c r="N36" s="30"/>
      <c r="O36" s="30"/>
      <c r="P36" s="30"/>
      <c r="Q36" s="30"/>
      <c r="R36" s="30"/>
      <c r="S36" s="30"/>
      <c r="T36" s="41">
        <f>T35*10%</f>
        <v>0</v>
      </c>
      <c r="U36" s="30"/>
      <c r="V36" s="31"/>
    </row>
    <row r="37" spans="1:22" ht="20.100000000000001" customHeight="1" thickBo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2" t="s">
        <v>23</v>
      </c>
      <c r="M37" s="43"/>
      <c r="N37" s="43"/>
      <c r="O37" s="43"/>
      <c r="P37" s="43"/>
      <c r="Q37" s="43"/>
      <c r="R37" s="43"/>
      <c r="S37" s="43"/>
      <c r="T37" s="44">
        <f>T35+T36+S29</f>
        <v>0</v>
      </c>
      <c r="U37" s="45"/>
      <c r="V37" s="46"/>
    </row>
    <row r="38" spans="1:22" ht="12" customHeight="1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</row>
  </sheetData>
  <mergeCells count="127">
    <mergeCell ref="A36:K37"/>
    <mergeCell ref="L36:S36"/>
    <mergeCell ref="T36:V36"/>
    <mergeCell ref="L37:S37"/>
    <mergeCell ref="T37:V37"/>
    <mergeCell ref="A1:C2"/>
    <mergeCell ref="D1:E1"/>
    <mergeCell ref="D2:E2"/>
    <mergeCell ref="L1:N2"/>
    <mergeCell ref="O1:P1"/>
    <mergeCell ref="A34:H34"/>
    <mergeCell ref="I34:K34"/>
    <mergeCell ref="L34:O34"/>
    <mergeCell ref="T34:V34"/>
    <mergeCell ref="A35:H35"/>
    <mergeCell ref="I35:K35"/>
    <mergeCell ref="L35:S35"/>
    <mergeCell ref="T35:V35"/>
    <mergeCell ref="A32:D32"/>
    <mergeCell ref="I32:K32"/>
    <mergeCell ref="L32:O32"/>
    <mergeCell ref="T32:V32"/>
    <mergeCell ref="A33:H33"/>
    <mergeCell ref="I33:K33"/>
    <mergeCell ref="L33:O33"/>
    <mergeCell ref="T33:V33"/>
    <mergeCell ref="A30:D30"/>
    <mergeCell ref="I30:K30"/>
    <mergeCell ref="L30:O30"/>
    <mergeCell ref="T30:V30"/>
    <mergeCell ref="A31:D31"/>
    <mergeCell ref="I31:K31"/>
    <mergeCell ref="L31:O31"/>
    <mergeCell ref="T31:V31"/>
    <mergeCell ref="A28:D28"/>
    <mergeCell ref="I28:K28"/>
    <mergeCell ref="L28:O28"/>
    <mergeCell ref="T28:V28"/>
    <mergeCell ref="A29:D29"/>
    <mergeCell ref="I29:K29"/>
    <mergeCell ref="L29:O29"/>
    <mergeCell ref="T29:V29"/>
    <mergeCell ref="A26:D26"/>
    <mergeCell ref="I26:K26"/>
    <mergeCell ref="L26:O26"/>
    <mergeCell ref="T26:V26"/>
    <mergeCell ref="A27:D27"/>
    <mergeCell ref="I27:K27"/>
    <mergeCell ref="L27:O27"/>
    <mergeCell ref="T27:V27"/>
    <mergeCell ref="A24:D24"/>
    <mergeCell ref="I24:K24"/>
    <mergeCell ref="L24:O24"/>
    <mergeCell ref="T24:V24"/>
    <mergeCell ref="A25:D25"/>
    <mergeCell ref="I25:K25"/>
    <mergeCell ref="L25:O25"/>
    <mergeCell ref="T25:V25"/>
    <mergeCell ref="A22:D22"/>
    <mergeCell ref="I22:K22"/>
    <mergeCell ref="L22:O22"/>
    <mergeCell ref="T22:V22"/>
    <mergeCell ref="A23:D23"/>
    <mergeCell ref="I23:K23"/>
    <mergeCell ref="L23:O23"/>
    <mergeCell ref="T23:V23"/>
    <mergeCell ref="A20:D20"/>
    <mergeCell ref="I20:K20"/>
    <mergeCell ref="L20:O20"/>
    <mergeCell ref="T20:V20"/>
    <mergeCell ref="A21:D21"/>
    <mergeCell ref="I21:K21"/>
    <mergeCell ref="L21:O21"/>
    <mergeCell ref="T21:V21"/>
    <mergeCell ref="A18:D18"/>
    <mergeCell ref="I18:K18"/>
    <mergeCell ref="L18:O18"/>
    <mergeCell ref="T18:V18"/>
    <mergeCell ref="A19:D19"/>
    <mergeCell ref="I19:K19"/>
    <mergeCell ref="L19:O19"/>
    <mergeCell ref="T19:V19"/>
    <mergeCell ref="A16:D16"/>
    <mergeCell ref="I16:K16"/>
    <mergeCell ref="L16:O16"/>
    <mergeCell ref="T16:V16"/>
    <mergeCell ref="A17:D17"/>
    <mergeCell ref="I17:K17"/>
    <mergeCell ref="L17:O17"/>
    <mergeCell ref="T17:V17"/>
    <mergeCell ref="A12:G12"/>
    <mergeCell ref="H12:K12"/>
    <mergeCell ref="L12:R12"/>
    <mergeCell ref="S12:V12"/>
    <mergeCell ref="H13:I13"/>
    <mergeCell ref="J13:K13"/>
    <mergeCell ref="S13:T13"/>
    <mergeCell ref="U13:V13"/>
    <mergeCell ref="A11:G11"/>
    <mergeCell ref="H11:I11"/>
    <mergeCell ref="J11:K11"/>
    <mergeCell ref="L11:R11"/>
    <mergeCell ref="S11:T11"/>
    <mergeCell ref="U11:V11"/>
    <mergeCell ref="A10:G10"/>
    <mergeCell ref="H10:I10"/>
    <mergeCell ref="J10:K10"/>
    <mergeCell ref="L10:R10"/>
    <mergeCell ref="S10:T10"/>
    <mergeCell ref="U10:V10"/>
    <mergeCell ref="A9:F9"/>
    <mergeCell ref="H9:I9"/>
    <mergeCell ref="J9:K9"/>
    <mergeCell ref="L9:Q9"/>
    <mergeCell ref="S9:T9"/>
    <mergeCell ref="U9:V9"/>
    <mergeCell ref="B3:D3"/>
    <mergeCell ref="M3:O3"/>
    <mergeCell ref="J4:K4"/>
    <mergeCell ref="U4:V4"/>
    <mergeCell ref="J5:K5"/>
    <mergeCell ref="U5:V5"/>
    <mergeCell ref="F1:G2"/>
    <mergeCell ref="I1:K1"/>
    <mergeCell ref="Q1:R2"/>
    <mergeCell ref="T1:V1"/>
    <mergeCell ref="O2:P2"/>
  </mergeCells>
  <phoneticPr fontId="2"/>
  <conditionalFormatting sqref="I17:K32">
    <cfRule type="cellIs" dxfId="2" priority="3" operator="equal">
      <formula>0</formula>
    </cfRule>
  </conditionalFormatting>
  <conditionalFormatting sqref="T17:V32">
    <cfRule type="cellIs" dxfId="1" priority="2" operator="equal">
      <formula>0</formula>
    </cfRule>
  </conditionalFormatting>
  <conditionalFormatting sqref="T33:V34">
    <cfRule type="cellIs" dxfId="0" priority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請求書＋明細書</vt:lpstr>
      <vt:lpstr>請求書兼明細書</vt:lpstr>
      <vt:lpstr>サンエイ株式会社営統事業部建設課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はつく はつく</cp:lastModifiedBy>
  <cp:lastPrinted>2026-03-30T08:46:34Z</cp:lastPrinted>
  <dcterms:created xsi:type="dcterms:W3CDTF">2026-02-26T06:06:18Z</dcterms:created>
  <dcterms:modified xsi:type="dcterms:W3CDTF">2026-03-30T08:47:33Z</dcterms:modified>
</cp:coreProperties>
</file>