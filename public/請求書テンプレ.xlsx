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46296" windowHeight="26136" tabRatio="600" firstSheet="0" activeTab="0" autoFilterDateGrouping="1"/>
  </bookViews>
  <sheets>
    <sheet name="請求書＋明細書" sheetId="1" state="visible" r:id="rId1"/>
    <sheet name="請求書兼明細書" sheetId="2" state="visible" r:id="rId2"/>
    <sheet name="サンエイ株式会社営統事業部建設課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m/d;@"/>
    <numFmt numFmtId="165" formatCode="&quot;0372785&quot;"/>
  </numFmts>
  <fonts count="16">
    <font>
      <name val="ＭＳ Ｐゴシック"/>
      <charset val="128"/>
      <family val="2"/>
      <color theme="1"/>
      <sz val="11"/>
      <scheme val="minor"/>
    </font>
    <font>
      <name val="ＭＳ Ｐゴシック"/>
      <charset val="128"/>
      <family val="2"/>
      <color theme="1"/>
      <sz val="11"/>
      <scheme val="minor"/>
    </font>
    <font>
      <name val="ＭＳ Ｐゴシック"/>
      <charset val="128"/>
      <family val="2"/>
      <sz val="6"/>
      <scheme val="minor"/>
    </font>
    <font>
      <name val="HGP明朝E"/>
      <charset val="128"/>
      <family val="1"/>
      <color theme="1"/>
      <sz val="20"/>
    </font>
    <font>
      <name val="HGP明朝E"/>
      <charset val="128"/>
      <family val="1"/>
      <color theme="1"/>
      <sz val="14"/>
    </font>
    <font>
      <name val="HGSｺﾞｼｯｸM"/>
      <charset val="128"/>
      <family val="3"/>
      <i val="1"/>
      <color theme="1"/>
      <sz val="11"/>
    </font>
    <font>
      <name val="HGS平成明朝体W3"/>
      <charset val="128"/>
      <family val="1"/>
      <color theme="1"/>
      <sz val="12"/>
    </font>
    <font>
      <name val="ＭＳ Ｐゴシック"/>
      <charset val="128"/>
      <family val="3"/>
      <color theme="1"/>
      <sz val="10"/>
      <scheme val="minor"/>
    </font>
    <font>
      <name val="ＭＳ Ｐゴシック"/>
      <charset val="128"/>
      <family val="2"/>
      <color theme="1"/>
      <sz val="14"/>
      <scheme val="minor"/>
    </font>
    <font>
      <name val="ＭＳ Ｐゴシック"/>
      <charset val="128"/>
      <family val="2"/>
      <color theme="10"/>
      <sz val="11"/>
      <u val="single"/>
      <scheme val="minor"/>
    </font>
    <font>
      <name val="ＭＳ Ｐゴシック"/>
      <charset val="128"/>
      <family val="3"/>
      <b val="1"/>
      <color theme="1"/>
      <sz val="12"/>
      <scheme val="minor"/>
    </font>
    <font>
      <name val="ＭＳ Ｐゴシック"/>
      <charset val="128"/>
      <family val="3"/>
      <b val="1"/>
      <color theme="1"/>
      <sz val="11"/>
      <scheme val="minor"/>
    </font>
    <font>
      <name val="HGPｺﾞｼｯｸE"/>
      <charset val="128"/>
      <family val="3"/>
      <color theme="1"/>
      <sz val="16"/>
    </font>
    <font>
      <name val="HGP明朝E"/>
      <charset val="128"/>
      <family val="1"/>
      <color theme="1"/>
      <sz val="12"/>
    </font>
    <font>
      <name val="ＭＳ Ｐゴシック"/>
      <charset val="128"/>
      <family val="3"/>
      <color theme="1"/>
      <sz val="11"/>
      <scheme val="minor"/>
    </font>
    <font>
      <name val="ＭＳ Ｐゴシック"/>
      <charset val="128"/>
      <family val="3"/>
      <i val="1"/>
      <color theme="1"/>
      <sz val="16"/>
      <scheme val="minor"/>
    </font>
  </fonts>
  <fills count="2">
    <fill>
      <patternFill/>
    </fill>
    <fill>
      <patternFill patternType="gray125"/>
    </fill>
  </fills>
  <borders count="32">
    <border>
      <left/>
      <right/>
      <top/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medium"/>
      <top style="medium">
        <color auto="1"/>
      </top>
      <bottom style="thin">
        <color auto="1"/>
      </bottom>
      <diagonal/>
    </border>
    <border>
      <left/>
      <right style="medium"/>
      <top style="thin">
        <color auto="1"/>
      </top>
      <bottom style="thin">
        <color auto="1"/>
      </bottom>
      <diagonal/>
    </border>
    <border>
      <left/>
      <right style="medium"/>
      <top style="thin">
        <color auto="1"/>
      </top>
      <bottom style="medium">
        <color auto="1"/>
      </bottom>
      <diagonal/>
    </border>
    <border>
      <left style="thin">
        <color auto="1"/>
      </left>
      <right style="medium"/>
      <top style="medium">
        <color auto="1"/>
      </top>
      <bottom style="thin">
        <color auto="1"/>
      </bottom>
      <diagonal/>
    </border>
    <border>
      <left style="thin">
        <color auto="1"/>
      </left>
      <right style="medium"/>
      <top style="thin">
        <color auto="1"/>
      </top>
      <bottom style="thin">
        <color auto="1"/>
      </bottom>
      <diagonal/>
    </border>
    <border>
      <left style="thin">
        <color auto="1"/>
      </left>
      <right style="medium"/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/>
      <top style="medium">
        <color auto="1"/>
      </top>
      <bottom style="thin">
        <color auto="1"/>
      </bottom>
      <diagonal/>
    </border>
    <border>
      <left style="thin">
        <color auto="1"/>
      </left>
      <right style="thin"/>
      <top style="thin">
        <color auto="1"/>
      </top>
      <bottom style="thin">
        <color auto="1"/>
      </bottom>
      <diagonal/>
    </border>
  </borders>
  <cellStyleXfs count="3">
    <xf numFmtId="0" fontId="1" fillId="0" borderId="0" applyAlignment="1">
      <alignment vertical="center"/>
    </xf>
    <xf numFmtId="38" fontId="1" fillId="0" borderId="0" applyAlignment="1">
      <alignment vertical="center"/>
    </xf>
    <xf numFmtId="0" fontId="9" fillId="0" borderId="0" applyAlignment="1">
      <alignment vertical="center"/>
    </xf>
  </cellStyleXfs>
  <cellXfs count="73"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vertical="center"/>
    </xf>
    <xf numFmtId="0" fontId="9" fillId="0" borderId="0" applyAlignment="1" pivotButton="0" quotePrefix="0" xfId="2">
      <alignment vertical="center"/>
    </xf>
    <xf numFmtId="0" fontId="10" fillId="0" borderId="3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3" fontId="0" fillId="0" borderId="5" applyAlignment="1" pivotButton="0" quotePrefix="0" xfId="0">
      <alignment vertical="center"/>
    </xf>
    <xf numFmtId="38" fontId="0" fillId="0" borderId="5" applyAlignment="1" pivotButton="0" quotePrefix="0" xfId="1">
      <alignment vertical="center"/>
    </xf>
    <xf numFmtId="0" fontId="0" fillId="0" borderId="5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164" fontId="0" fillId="0" borderId="5" applyAlignment="1" pivotButton="0" quotePrefix="0" xfId="0">
      <alignment horizontal="center" vertical="center"/>
    </xf>
    <xf numFmtId="164" fontId="0" fillId="0" borderId="5" applyAlignment="1" pivotButton="0" quotePrefix="0" xfId="0">
      <alignment vertical="center"/>
    </xf>
    <xf numFmtId="0" fontId="10" fillId="0" borderId="0" applyAlignment="1" pivotButton="0" quotePrefix="0" xfId="0">
      <alignment horizontal="center" vertical="center"/>
    </xf>
    <xf numFmtId="0" fontId="0" fillId="0" borderId="0" pivotButton="0" quotePrefix="0" xfId="0"/>
    <xf numFmtId="38" fontId="11" fillId="0" borderId="5" applyAlignment="1" pivotButton="0" quotePrefix="0" xfId="0">
      <alignment horizontal="right" vertical="center"/>
    </xf>
    <xf numFmtId="0" fontId="0" fillId="0" borderId="6" pivotButton="0" quotePrefix="0" xfId="0"/>
    <xf numFmtId="0" fontId="0" fillId="0" borderId="7" pivotButton="0" quotePrefix="0" xfId="0"/>
    <xf numFmtId="0" fontId="0" fillId="0" borderId="0" applyAlignment="1" pivotButton="0" quotePrefix="0" xfId="0">
      <alignment horizontal="right" vertical="center"/>
    </xf>
    <xf numFmtId="0" fontId="0" fillId="0" borderId="0" pivotButton="0" quotePrefix="0" xfId="0"/>
    <xf numFmtId="0" fontId="11" fillId="0" borderId="4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14" fillId="0" borderId="4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0" borderId="14" pivotButton="0" quotePrefix="0" xfId="0"/>
    <xf numFmtId="0" fontId="10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center" vertical="center"/>
    </xf>
    <xf numFmtId="38" fontId="11" fillId="0" borderId="12" applyAlignment="1" pivotButton="0" quotePrefix="0" xfId="0">
      <alignment horizontal="right" vertical="center"/>
    </xf>
    <xf numFmtId="0" fontId="0" fillId="0" borderId="9" pivotButton="0" quotePrefix="0" xfId="0"/>
    <xf numFmtId="0" fontId="0" fillId="0" borderId="15" pivotButton="0" quotePrefix="0" xfId="0"/>
    <xf numFmtId="3" fontId="11" fillId="0" borderId="5" applyAlignment="1" pivotButton="0" quotePrefix="0" xfId="0">
      <alignment horizontal="right" vertical="center"/>
    </xf>
    <xf numFmtId="0" fontId="10" fillId="0" borderId="10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2" pivotButton="0" quotePrefix="0" xfId="0"/>
    <xf numFmtId="0" fontId="11" fillId="0" borderId="4" applyAlignment="1" pivotButton="0" quotePrefix="0" xfId="0">
      <alignment horizontal="right" vertical="center"/>
    </xf>
    <xf numFmtId="0" fontId="10" fillId="0" borderId="0" applyAlignment="1" pivotButton="0" quotePrefix="0" xfId="2">
      <alignment horizontal="left" vertical="center"/>
    </xf>
    <xf numFmtId="0" fontId="11" fillId="0" borderId="8" applyAlignment="1" pivotButton="0" quotePrefix="0" xfId="0">
      <alignment horizontal="right" vertical="center"/>
    </xf>
    <xf numFmtId="0" fontId="0" fillId="0" borderId="11" pivotButton="0" quotePrefix="0" xfId="0"/>
    <xf numFmtId="0" fontId="4" fillId="0" borderId="0" applyAlignment="1" pivotButton="0" quotePrefix="0" xfId="0">
      <alignment horizontal="center" vertical="center"/>
    </xf>
    <xf numFmtId="165" fontId="8" fillId="0" borderId="0" applyAlignment="1" pivotButton="0" quotePrefix="0" xfId="1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/>
    </xf>
    <xf numFmtId="0" fontId="10" fillId="0" borderId="3" applyAlignment="1" pivotButton="0" quotePrefix="0" xfId="0">
      <alignment horizontal="center" vertical="center"/>
    </xf>
    <xf numFmtId="0" fontId="0" fillId="0" borderId="13" pivotButton="0" quotePrefix="0" xfId="0"/>
    <xf numFmtId="0" fontId="15" fillId="0" borderId="0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0" fillId="0" borderId="0" pivotButton="0" quotePrefix="0" xfId="0"/>
    <xf numFmtId="165" fontId="8" fillId="0" borderId="0" applyAlignment="1" pivotButton="0" quotePrefix="0" xfId="1">
      <alignment horizontal="center" vertical="center"/>
    </xf>
    <xf numFmtId="0" fontId="0" fillId="0" borderId="21" pivotButton="0" quotePrefix="0" xfId="0"/>
    <xf numFmtId="164" fontId="0" fillId="0" borderId="5" applyAlignment="1" pivotButton="0" quotePrefix="0" xfId="0">
      <alignment horizontal="center" vertical="center"/>
    </xf>
    <xf numFmtId="0" fontId="0" fillId="0" borderId="22" pivotButton="0" quotePrefix="0" xfId="0"/>
    <xf numFmtId="164" fontId="0" fillId="0" borderId="5" applyAlignment="1" pivotButton="0" quotePrefix="0" xfId="0">
      <alignment vertical="center"/>
    </xf>
    <xf numFmtId="0" fontId="0" fillId="0" borderId="23" pivotButton="0" quotePrefix="0" xfId="0"/>
    <xf numFmtId="0" fontId="10" fillId="0" borderId="24" applyAlignment="1" pivotButton="0" quotePrefix="0" xfId="0">
      <alignment horizontal="center" vertical="center"/>
    </xf>
    <xf numFmtId="38" fontId="11" fillId="0" borderId="25" applyAlignment="1" pivotButton="0" quotePrefix="0" xfId="0">
      <alignment horizontal="right" vertical="center"/>
    </xf>
    <xf numFmtId="3" fontId="11" fillId="0" borderId="25" applyAlignment="1" pivotButton="0" quotePrefix="0" xfId="0">
      <alignment horizontal="right" vertical="center"/>
    </xf>
    <xf numFmtId="38" fontId="11" fillId="0" borderId="26" applyAlignment="1" pivotButton="0" quotePrefix="0" xfId="0">
      <alignment horizontal="right" vertical="center"/>
    </xf>
    <xf numFmtId="0" fontId="10" fillId="0" borderId="28" applyAlignment="1" pivotButton="0" quotePrefix="0" xfId="0">
      <alignment horizontal="center" vertical="center"/>
    </xf>
    <xf numFmtId="38" fontId="11" fillId="0" borderId="27" applyAlignment="1" pivotButton="0" quotePrefix="0" xfId="0">
      <alignment horizontal="right" vertical="center"/>
    </xf>
    <xf numFmtId="0" fontId="0" fillId="0" borderId="25" applyAlignment="1" pivotButton="0" quotePrefix="0" xfId="0">
      <alignment horizontal="center" vertical="center"/>
    </xf>
    <xf numFmtId="3" fontId="0" fillId="0" borderId="25" applyAlignment="1" pivotButton="0" quotePrefix="0" xfId="0">
      <alignment vertical="center"/>
    </xf>
    <xf numFmtId="38" fontId="0" fillId="0" borderId="25" applyAlignment="1" pivotButton="0" quotePrefix="0" xfId="1">
      <alignment vertical="center"/>
    </xf>
    <xf numFmtId="0" fontId="0" fillId="0" borderId="25" applyAlignment="1" pivotButton="0" quotePrefix="0" xfId="0">
      <alignment vertical="center"/>
    </xf>
    <xf numFmtId="3" fontId="11" fillId="0" borderId="27" applyAlignment="1" pivotButton="0" quotePrefix="0" xfId="0">
      <alignment horizontal="right" vertical="center"/>
    </xf>
    <xf numFmtId="0" fontId="10" fillId="0" borderId="30" applyAlignment="1" pivotButton="0" quotePrefix="0" xfId="0">
      <alignment horizontal="center" vertical="center"/>
    </xf>
    <xf numFmtId="0" fontId="0" fillId="0" borderId="31" applyAlignment="1" pivotButton="0" quotePrefix="0" xfId="0">
      <alignment horizontal="center" vertical="center"/>
    </xf>
    <xf numFmtId="3" fontId="0" fillId="0" borderId="31" applyAlignment="1" pivotButton="0" quotePrefix="0" xfId="0">
      <alignment vertical="center"/>
    </xf>
    <xf numFmtId="38" fontId="0" fillId="0" borderId="31" applyAlignment="1" pivotButton="0" quotePrefix="0" xfId="1">
      <alignment vertical="center"/>
    </xf>
    <xf numFmtId="0" fontId="0" fillId="0" borderId="31" applyAlignment="1" pivotButton="0" quotePrefix="0" xfId="0">
      <alignment vertical="center"/>
    </xf>
  </cellXfs>
  <cellStyles count="3">
    <cellStyle name="標準" xfId="0" builtinId="0"/>
    <cellStyle name="桁区切り" xfId="1" builtinId="6"/>
    <cellStyle name="ハイパーリンク" xfId="2" builtinId="8"/>
  </cellStyles>
  <dxfs count="5"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TEL:0532-88-7770" TargetMode="External" Id="rId1" /><Relationship Type="http://schemas.openxmlformats.org/officeDocument/2006/relationships/hyperlink" Target="TEL:0532-88-7770" TargetMode="External" Id="rId2" /></Relationships>
</file>

<file path=xl/worksheets/_rels/sheet2.xml.rels><Relationships xmlns="http://schemas.openxmlformats.org/package/2006/relationships"><Relationship Type="http://schemas.openxmlformats.org/officeDocument/2006/relationships/hyperlink" Target="TEL:0532-88-7770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TEL:0532-88-7770" TargetMode="External" Id="rId1" /><Relationship Type="http://schemas.openxmlformats.org/officeDocument/2006/relationships/hyperlink" Target="TEL:0532-88-7770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8"/>
  <sheetViews>
    <sheetView tabSelected="1" zoomScale="120" zoomScaleNormal="120" workbookViewId="0">
      <selection activeCell="A16" sqref="A16:K35"/>
    </sheetView>
  </sheetViews>
  <sheetFormatPr baseColWidth="8" defaultRowHeight="13.2" outlineLevelCol="0"/>
  <cols>
    <col width="7.109375" customWidth="1" style="50" min="1" max="4"/>
    <col width="12.44140625" customWidth="1" style="50" min="5" max="5"/>
    <col width="6.6640625" customWidth="1" style="50" min="6" max="7"/>
    <col width="9.6640625" customWidth="1" style="50" min="8" max="8"/>
    <col width="8.109375" customWidth="1" style="50" min="9" max="9"/>
    <col width="7.44140625" customWidth="1" style="50" min="10" max="10"/>
    <col width="7.6640625" customWidth="1" style="50" min="11" max="14"/>
    <col width="9.6640625" customWidth="1" style="50" min="15" max="15"/>
    <col width="10.6640625" customWidth="1" style="50" min="16" max="16"/>
    <col width="6.6640625" customWidth="1" style="50" min="17" max="17"/>
    <col width="7.109375" customWidth="1" style="50" min="18" max="18"/>
    <col width="8.6640625" customWidth="1" style="50" min="19" max="19"/>
    <col width="7.6640625" customWidth="1" style="50" min="20" max="21"/>
    <col width="7.44140625" customWidth="1" style="50" min="22" max="22"/>
    <col width="9.21875" bestFit="1" customWidth="1" style="50" min="24" max="24"/>
  </cols>
  <sheetData>
    <row r="1" ht="24.9" customHeight="1" s="50">
      <c r="A1" s="25" t="n"/>
      <c r="F1" s="25" t="inlineStr">
        <is>
          <t>御中</t>
        </is>
      </c>
      <c r="I1" s="40" t="inlineStr">
        <is>
          <t>請求書</t>
        </is>
      </c>
      <c r="L1" s="25" t="n"/>
      <c r="Q1" s="25" t="inlineStr">
        <is>
          <t>御中</t>
        </is>
      </c>
      <c r="T1" s="40" t="inlineStr">
        <is>
          <t>請求明細書</t>
        </is>
      </c>
    </row>
    <row r="2" ht="24.9" customHeight="1" s="50">
      <c r="H2" s="0" t="inlineStr">
        <is>
          <t>登録番号</t>
        </is>
      </c>
      <c r="I2" s="1" t="inlineStr">
        <is>
          <t>T2180301030949</t>
        </is>
      </c>
      <c r="J2" s="1" t="n"/>
      <c r="K2" s="1" t="n"/>
      <c r="S2" s="0" t="inlineStr">
        <is>
          <t>登録番号</t>
        </is>
      </c>
      <c r="T2" s="1" t="inlineStr">
        <is>
          <t>T2180301030949</t>
        </is>
      </c>
      <c r="U2" s="1" t="n"/>
      <c r="V2" s="1" t="n"/>
    </row>
    <row r="3" ht="20.1" customHeight="1" s="50">
      <c r="A3" s="2" t="inlineStr">
        <is>
          <t>工事名</t>
        </is>
      </c>
      <c r="B3" s="43" t="inlineStr">
        <is>
          <t>清掃工事</t>
        </is>
      </c>
      <c r="L3" s="2" t="inlineStr">
        <is>
          <t>工事名</t>
        </is>
      </c>
      <c r="M3" s="43" t="inlineStr">
        <is>
          <t>清掃工事</t>
        </is>
      </c>
    </row>
    <row r="4" ht="20.1" customHeight="1" s="50">
      <c r="H4" s="3" t="inlineStr">
        <is>
          <t>日付：</t>
        </is>
      </c>
      <c r="I4" s="28" t="inlineStr">
        <is>
          <t>年</t>
        </is>
      </c>
      <c r="J4" s="28" t="inlineStr">
        <is>
          <t>月　日〆</t>
        </is>
      </c>
      <c r="S4" s="3" t="inlineStr">
        <is>
          <t>日付：</t>
        </is>
      </c>
      <c r="T4" s="28" t="inlineStr">
        <is>
          <t>年</t>
        </is>
      </c>
      <c r="U4" s="28" t="inlineStr">
        <is>
          <t>月　日〆</t>
        </is>
      </c>
    </row>
    <row r="5" ht="20.1" customHeight="1" s="50">
      <c r="A5" s="46" t="inlineStr">
        <is>
          <t>株式会社　柚喜</t>
        </is>
      </c>
      <c r="H5" s="3" t="n"/>
      <c r="I5" s="3" t="n"/>
      <c r="J5" s="28" t="n"/>
      <c r="L5" s="46" t="inlineStr">
        <is>
          <t>株式会社　柚喜</t>
        </is>
      </c>
      <c r="S5" s="3" t="n"/>
      <c r="T5" s="3" t="n"/>
      <c r="U5" s="28" t="n"/>
    </row>
    <row r="6" ht="20.1" customHeight="1" s="50">
      <c r="E6" s="0" t="inlineStr">
        <is>
          <t>　　　</t>
        </is>
      </c>
      <c r="P6" s="0" t="inlineStr">
        <is>
          <t>　　　</t>
        </is>
      </c>
    </row>
    <row r="7" ht="20.1" customHeight="1" s="50"/>
    <row r="8" ht="24.9" customHeight="1" s="50"/>
    <row r="9" ht="24.9" customHeight="1" s="50">
      <c r="A9" s="42" t="inlineStr">
        <is>
          <t>住所：　愛知県豊橋市東森岡1-7-13</t>
        </is>
      </c>
      <c r="G9" s="42" t="n"/>
      <c r="H9" s="20" t="inlineStr">
        <is>
          <t>金融機関名：</t>
        </is>
      </c>
      <c r="J9" s="23" t="inlineStr">
        <is>
          <t>豊橋信用金庫</t>
        </is>
      </c>
      <c r="L9" s="42" t="inlineStr">
        <is>
          <t>住所：　愛知県豊橋市東森岡1-7-13</t>
        </is>
      </c>
      <c r="R9" s="42" t="n"/>
      <c r="S9" s="20" t="n"/>
      <c r="U9" s="23" t="n"/>
    </row>
    <row r="10" ht="24.9" customHeight="1" s="50">
      <c r="A10" s="37" t="inlineStr">
        <is>
          <t xml:space="preserve">　　　　　　TEL:　　0532-88-7770</t>
        </is>
      </c>
      <c r="H10" s="20" t="inlineStr">
        <is>
          <t>支店名　：</t>
        </is>
      </c>
      <c r="J10" s="23" t="inlineStr">
        <is>
          <t>牛川支店・普通</t>
        </is>
      </c>
      <c r="L10" s="37" t="inlineStr">
        <is>
          <t xml:space="preserve">　　　　　　TEL:　　0532-88-7770</t>
        </is>
      </c>
      <c r="S10" s="20" t="n"/>
      <c r="U10" s="23" t="n"/>
    </row>
    <row r="11" ht="24.9" customHeight="1" s="50">
      <c r="A11" s="27" t="inlineStr">
        <is>
          <t xml:space="preserve">　　　　　　FAX:　　0532-88-4591</t>
        </is>
      </c>
      <c r="H11" s="20" t="inlineStr">
        <is>
          <t>口座名義：</t>
        </is>
      </c>
      <c r="J11" s="23" t="inlineStr">
        <is>
          <t>株式会社　柚喜</t>
        </is>
      </c>
      <c r="L11" s="27" t="inlineStr">
        <is>
          <t xml:space="preserve">　　　　　　FAX:　　0532-88-4591</t>
        </is>
      </c>
      <c r="S11" s="20" t="n"/>
      <c r="U11" s="23" t="n"/>
    </row>
    <row r="12" ht="24.9" customHeight="1" s="50">
      <c r="A12" s="42" t="inlineStr">
        <is>
          <t>E-MAIL:　cs-yuzuki0109@cd5.so-net.ne.ip</t>
        </is>
      </c>
      <c r="H12" s="23" t="inlineStr">
        <is>
          <t xml:space="preserve">　　　　　　　　　代表取締役　藤澤　淳</t>
        </is>
      </c>
      <c r="L12" s="42" t="inlineStr">
        <is>
          <t>E-MAIL:　cs-yuzuki0109@cd5.so-net.ne.ip</t>
        </is>
      </c>
      <c r="S12" s="23" t="n"/>
    </row>
    <row r="13" ht="24.9" customHeight="1" s="50">
      <c r="A13" s="5" t="n"/>
      <c r="B13" s="5" t="n"/>
      <c r="C13" s="5" t="n"/>
      <c r="D13" s="5" t="n"/>
      <c r="E13" s="5" t="n"/>
      <c r="F13" s="5" t="n"/>
      <c r="G13" s="5" t="n"/>
      <c r="H13" s="20" t="inlineStr">
        <is>
          <t>口座番号：</t>
        </is>
      </c>
      <c r="J13" s="51" t="n">
        <v>372785</v>
      </c>
      <c r="L13" s="5" t="n"/>
      <c r="M13" s="5" t="n"/>
      <c r="N13" s="5" t="n"/>
      <c r="O13" s="5" t="n"/>
      <c r="P13" s="5" t="n"/>
      <c r="Q13" s="5" t="n"/>
      <c r="R13" s="5" t="n"/>
      <c r="S13" s="20" t="n"/>
      <c r="U13" s="51" t="n"/>
    </row>
    <row r="14" ht="20.1" customHeight="1" s="50">
      <c r="A14" s="5" t="n"/>
      <c r="B14" s="5" t="n"/>
      <c r="C14" s="5" t="n"/>
      <c r="D14" s="5" t="n"/>
      <c r="E14" s="5" t="n"/>
      <c r="F14" s="5" t="n"/>
      <c r="G14" s="5" t="n"/>
      <c r="L14" s="5" t="n"/>
      <c r="M14" s="5" t="n"/>
      <c r="N14" s="5" t="n"/>
      <c r="O14" s="5" t="n"/>
      <c r="P14" s="5" t="n"/>
      <c r="Q14" s="5" t="n"/>
      <c r="R14" s="5" t="n"/>
    </row>
    <row r="15" ht="20.1" customHeight="1" s="50" thickBot="1">
      <c r="C15" s="6" t="n"/>
      <c r="N15" s="6" t="n"/>
    </row>
    <row r="16" ht="21.75" customHeight="1" s="50">
      <c r="A16" s="33" t="inlineStr">
        <is>
          <t>品名・内容</t>
        </is>
      </c>
      <c r="B16" s="34" t="n"/>
      <c r="C16" s="34" t="n"/>
      <c r="D16" s="35" t="n"/>
      <c r="E16" s="44" t="inlineStr">
        <is>
          <t>日付</t>
        </is>
      </c>
      <c r="F16" s="44" t="inlineStr">
        <is>
          <t>数量</t>
        </is>
      </c>
      <c r="G16" s="44" t="inlineStr">
        <is>
          <t>単位</t>
        </is>
      </c>
      <c r="H16" s="44" t="inlineStr">
        <is>
          <t>単価</t>
        </is>
      </c>
      <c r="I16" s="61" t="inlineStr">
        <is>
          <t>金額</t>
        </is>
      </c>
      <c r="J16" s="34" t="n"/>
      <c r="K16" s="45" t="n"/>
      <c r="L16" s="33" t="inlineStr">
        <is>
          <t>品名・内容</t>
        </is>
      </c>
      <c r="M16" s="34" t="n"/>
      <c r="N16" s="34" t="n"/>
      <c r="O16" s="35" t="n"/>
      <c r="P16" s="44" t="inlineStr">
        <is>
          <t>日付</t>
        </is>
      </c>
      <c r="Q16" s="44" t="inlineStr">
        <is>
          <t>数量</t>
        </is>
      </c>
      <c r="R16" s="68" t="inlineStr">
        <is>
          <t>単位</t>
        </is>
      </c>
      <c r="S16" s="68" t="inlineStr">
        <is>
          <t>単価</t>
        </is>
      </c>
      <c r="T16" s="61" t="inlineStr">
        <is>
          <t>金額</t>
        </is>
      </c>
      <c r="U16" s="34" t="n"/>
      <c r="V16" s="45" t="n"/>
    </row>
    <row r="17" ht="20.1" customHeight="1" s="50">
      <c r="A17" s="22" t="inlineStr">
        <is>
          <t>清掃工事</t>
        </is>
      </c>
      <c r="B17" s="18" t="n"/>
      <c r="C17" s="18" t="n"/>
      <c r="D17" s="19" t="n"/>
      <c r="E17" s="53" t="n"/>
      <c r="F17" s="8" t="n"/>
      <c r="G17" s="8" t="n"/>
      <c r="H17" s="9" t="n"/>
      <c r="I17" s="62">
        <f>T35</f>
        <v/>
      </c>
      <c r="J17" s="18" t="n"/>
      <c r="K17" s="26" t="n"/>
      <c r="L17" s="22" t="n"/>
      <c r="M17" s="18" t="n"/>
      <c r="N17" s="18" t="n"/>
      <c r="O17" s="19" t="n"/>
      <c r="P17" s="53" t="n"/>
      <c r="Q17" s="8" t="n"/>
      <c r="R17" s="69" t="n"/>
      <c r="S17" s="70" t="n"/>
      <c r="T17" s="62">
        <f>S17*Q17</f>
        <v/>
      </c>
      <c r="U17" s="18" t="n"/>
      <c r="V17" s="26" t="n"/>
    </row>
    <row r="18" ht="20.1" customHeight="1" s="50">
      <c r="A18" s="22" t="n"/>
      <c r="B18" s="18" t="n"/>
      <c r="C18" s="18" t="n"/>
      <c r="D18" s="19" t="n"/>
      <c r="E18" s="53" t="n"/>
      <c r="F18" s="8" t="n"/>
      <c r="G18" s="8" t="n"/>
      <c r="H18" s="9" t="n"/>
      <c r="I18" s="62">
        <f>H18*F18</f>
        <v/>
      </c>
      <c r="J18" s="18" t="n"/>
      <c r="K18" s="26" t="n"/>
      <c r="L18" s="22" t="n"/>
      <c r="M18" s="18" t="n"/>
      <c r="N18" s="18" t="n"/>
      <c r="O18" s="19" t="n"/>
      <c r="P18" s="53" t="n"/>
      <c r="Q18" s="8" t="n"/>
      <c r="R18" s="69" t="n"/>
      <c r="S18" s="70" t="n"/>
      <c r="T18" s="62">
        <f>S18*Q18</f>
        <v/>
      </c>
      <c r="U18" s="18" t="n"/>
      <c r="V18" s="26" t="n"/>
    </row>
    <row r="19" ht="20.1" customHeight="1" s="50">
      <c r="A19" s="22" t="n"/>
      <c r="B19" s="18" t="n"/>
      <c r="C19" s="18" t="n"/>
      <c r="D19" s="19" t="n"/>
      <c r="E19" s="53" t="n"/>
      <c r="F19" s="8" t="n"/>
      <c r="G19" s="8" t="n"/>
      <c r="H19" s="9" t="n"/>
      <c r="I19" s="62">
        <f>H19*F19</f>
        <v/>
      </c>
      <c r="J19" s="18" t="n"/>
      <c r="K19" s="26" t="n"/>
      <c r="L19" s="22" t="n"/>
      <c r="M19" s="18" t="n"/>
      <c r="N19" s="18" t="n"/>
      <c r="O19" s="19" t="n"/>
      <c r="P19" s="53" t="n"/>
      <c r="Q19" s="8" t="n"/>
      <c r="R19" s="69" t="n"/>
      <c r="S19" s="70" t="n"/>
      <c r="T19" s="62">
        <f>S19*Q19</f>
        <v/>
      </c>
      <c r="U19" s="18" t="n"/>
      <c r="V19" s="26" t="n"/>
    </row>
    <row r="20" ht="20.1" customHeight="1" s="50">
      <c r="A20" s="22" t="n"/>
      <c r="B20" s="18" t="n"/>
      <c r="C20" s="18" t="n"/>
      <c r="D20" s="19" t="n"/>
      <c r="E20" s="53" t="n"/>
      <c r="F20" s="8" t="n"/>
      <c r="G20" s="8" t="n"/>
      <c r="H20" s="9" t="n"/>
      <c r="I20" s="62">
        <f>H20*F20</f>
        <v/>
      </c>
      <c r="J20" s="18" t="n"/>
      <c r="K20" s="26" t="n"/>
      <c r="L20" s="22" t="n"/>
      <c r="M20" s="18" t="n"/>
      <c r="N20" s="18" t="n"/>
      <c r="O20" s="19" t="n"/>
      <c r="P20" s="53" t="n"/>
      <c r="Q20" s="8" t="n"/>
      <c r="R20" s="69" t="n"/>
      <c r="S20" s="70" t="n"/>
      <c r="T20" s="62">
        <f>S20*Q20</f>
        <v/>
      </c>
      <c r="U20" s="18" t="n"/>
      <c r="V20" s="26" t="n"/>
    </row>
    <row r="21" ht="20.1" customHeight="1" s="50">
      <c r="A21" s="22" t="n"/>
      <c r="B21" s="18" t="n"/>
      <c r="C21" s="18" t="n"/>
      <c r="D21" s="19" t="n"/>
      <c r="E21" s="53" t="n"/>
      <c r="F21" s="8" t="n"/>
      <c r="G21" s="8" t="n"/>
      <c r="H21" s="9" t="n"/>
      <c r="I21" s="62">
        <f>H21*F21</f>
        <v/>
      </c>
      <c r="J21" s="18" t="n"/>
      <c r="K21" s="26" t="n"/>
      <c r="L21" s="22" t="n"/>
      <c r="M21" s="18" t="n"/>
      <c r="N21" s="18" t="n"/>
      <c r="O21" s="19" t="n"/>
      <c r="P21" s="53" t="n"/>
      <c r="Q21" s="8" t="n"/>
      <c r="R21" s="69" t="n"/>
      <c r="S21" s="70" t="n"/>
      <c r="T21" s="62">
        <f>S21*Q21</f>
        <v/>
      </c>
      <c r="U21" s="18" t="n"/>
      <c r="V21" s="26" t="n"/>
    </row>
    <row r="22" ht="20.1" customHeight="1" s="50">
      <c r="A22" s="22" t="n"/>
      <c r="B22" s="18" t="n"/>
      <c r="C22" s="18" t="n"/>
      <c r="D22" s="19" t="n"/>
      <c r="E22" s="53" t="n"/>
      <c r="F22" s="8" t="n"/>
      <c r="G22" s="8" t="n"/>
      <c r="H22" s="9" t="n"/>
      <c r="I22" s="62">
        <f>H22*F22</f>
        <v/>
      </c>
      <c r="J22" s="18" t="n"/>
      <c r="K22" s="26" t="n"/>
      <c r="L22" s="22" t="n"/>
      <c r="M22" s="18" t="n"/>
      <c r="N22" s="18" t="n"/>
      <c r="O22" s="19" t="n"/>
      <c r="P22" s="53" t="n"/>
      <c r="Q22" s="8" t="n"/>
      <c r="R22" s="69" t="n"/>
      <c r="S22" s="70" t="n"/>
      <c r="T22" s="62">
        <f>S22*Q22</f>
        <v/>
      </c>
      <c r="U22" s="18" t="n"/>
      <c r="V22" s="26" t="n"/>
    </row>
    <row r="23" ht="20.1" customHeight="1" s="50">
      <c r="A23" s="22" t="n"/>
      <c r="B23" s="18" t="n"/>
      <c r="C23" s="18" t="n"/>
      <c r="D23" s="19" t="n"/>
      <c r="E23" s="53" t="n"/>
      <c r="F23" s="8" t="n"/>
      <c r="G23" s="8" t="n"/>
      <c r="H23" s="9" t="n"/>
      <c r="I23" s="62">
        <f>H23*F23</f>
        <v/>
      </c>
      <c r="J23" s="18" t="n"/>
      <c r="K23" s="26" t="n"/>
      <c r="L23" s="22" t="n"/>
      <c r="M23" s="18" t="n"/>
      <c r="N23" s="18" t="n"/>
      <c r="O23" s="19" t="n"/>
      <c r="P23" s="53" t="n"/>
      <c r="Q23" s="8" t="n"/>
      <c r="R23" s="69" t="n"/>
      <c r="S23" s="70" t="n"/>
      <c r="T23" s="62">
        <f>S23*Q23</f>
        <v/>
      </c>
      <c r="U23" s="18" t="n"/>
      <c r="V23" s="26" t="n"/>
    </row>
    <row r="24" ht="20.1" customHeight="1" s="50">
      <c r="A24" s="22" t="n"/>
      <c r="B24" s="18" t="n"/>
      <c r="C24" s="18" t="n"/>
      <c r="D24" s="19" t="n"/>
      <c r="E24" s="53" t="n"/>
      <c r="F24" s="8" t="n"/>
      <c r="G24" s="8" t="n"/>
      <c r="H24" s="9" t="n"/>
      <c r="I24" s="62">
        <f>H24*F24</f>
        <v/>
      </c>
      <c r="J24" s="18" t="n"/>
      <c r="K24" s="26" t="n"/>
      <c r="L24" s="22" t="n"/>
      <c r="M24" s="18" t="n"/>
      <c r="N24" s="18" t="n"/>
      <c r="O24" s="19" t="n"/>
      <c r="P24" s="53" t="n"/>
      <c r="Q24" s="8" t="n"/>
      <c r="R24" s="69" t="n"/>
      <c r="S24" s="70" t="n"/>
      <c r="T24" s="62">
        <f>S24*Q24</f>
        <v/>
      </c>
      <c r="U24" s="18" t="n"/>
      <c r="V24" s="26" t="n"/>
    </row>
    <row r="25" ht="20.1" customHeight="1" s="50">
      <c r="A25" s="22" t="n"/>
      <c r="B25" s="18" t="n"/>
      <c r="C25" s="18" t="n"/>
      <c r="D25" s="19" t="n"/>
      <c r="E25" s="53" t="n"/>
      <c r="F25" s="8" t="n"/>
      <c r="G25" s="8" t="n"/>
      <c r="H25" s="9" t="n"/>
      <c r="I25" s="62">
        <f>H25*F25</f>
        <v/>
      </c>
      <c r="J25" s="18" t="n"/>
      <c r="K25" s="26" t="n"/>
      <c r="L25" s="22" t="n"/>
      <c r="M25" s="18" t="n"/>
      <c r="N25" s="18" t="n"/>
      <c r="O25" s="19" t="n"/>
      <c r="P25" s="53" t="n"/>
      <c r="Q25" s="8" t="n"/>
      <c r="R25" s="69" t="n"/>
      <c r="S25" s="70" t="n"/>
      <c r="T25" s="62">
        <f>S25*Q25</f>
        <v/>
      </c>
      <c r="U25" s="18" t="n"/>
      <c r="V25" s="26" t="n"/>
    </row>
    <row r="26" ht="20.1" customHeight="1" s="50">
      <c r="A26" s="22" t="n"/>
      <c r="B26" s="18" t="n"/>
      <c r="C26" s="18" t="n"/>
      <c r="D26" s="19" t="n"/>
      <c r="E26" s="53" t="n"/>
      <c r="F26" s="8" t="n"/>
      <c r="G26" s="8" t="n"/>
      <c r="H26" s="9" t="n"/>
      <c r="I26" s="62">
        <f>H26*F26</f>
        <v/>
      </c>
      <c r="J26" s="18" t="n"/>
      <c r="K26" s="26" t="n"/>
      <c r="L26" s="22" t="n"/>
      <c r="M26" s="18" t="n"/>
      <c r="N26" s="18" t="n"/>
      <c r="O26" s="19" t="n"/>
      <c r="P26" s="53" t="n"/>
      <c r="Q26" s="8" t="n"/>
      <c r="R26" s="69" t="n"/>
      <c r="S26" s="70" t="n"/>
      <c r="T26" s="62">
        <f>S26*Q26</f>
        <v/>
      </c>
      <c r="U26" s="18" t="n"/>
      <c r="V26" s="26" t="n"/>
    </row>
    <row r="27" ht="20.1" customHeight="1" s="50">
      <c r="A27" s="22" t="n"/>
      <c r="B27" s="18" t="n"/>
      <c r="C27" s="18" t="n"/>
      <c r="D27" s="19" t="n"/>
      <c r="E27" s="53" t="n"/>
      <c r="F27" s="8" t="n"/>
      <c r="G27" s="8" t="n"/>
      <c r="H27" s="9" t="n"/>
      <c r="I27" s="62">
        <f>H27*F27</f>
        <v/>
      </c>
      <c r="J27" s="18" t="n"/>
      <c r="K27" s="26" t="n"/>
      <c r="L27" s="22" t="n"/>
      <c r="M27" s="18" t="n"/>
      <c r="N27" s="18" t="n"/>
      <c r="O27" s="19" t="n"/>
      <c r="P27" s="53" t="n"/>
      <c r="Q27" s="8" t="n"/>
      <c r="R27" s="69" t="n"/>
      <c r="S27" s="70" t="n"/>
      <c r="T27" s="62">
        <f>S27*Q27</f>
        <v/>
      </c>
      <c r="U27" s="18" t="n"/>
      <c r="V27" s="26" t="n"/>
    </row>
    <row r="28" ht="20.1" customHeight="1" s="50">
      <c r="A28" s="22" t="n"/>
      <c r="B28" s="18" t="n"/>
      <c r="C28" s="18" t="n"/>
      <c r="D28" s="19" t="n"/>
      <c r="E28" s="53" t="n"/>
      <c r="F28" s="8" t="n"/>
      <c r="G28" s="8" t="n"/>
      <c r="H28" s="9" t="n"/>
      <c r="I28" s="62">
        <f>H28*F28</f>
        <v/>
      </c>
      <c r="J28" s="18" t="n"/>
      <c r="K28" s="26" t="n"/>
      <c r="L28" s="22" t="n"/>
      <c r="M28" s="18" t="n"/>
      <c r="N28" s="18" t="n"/>
      <c r="O28" s="19" t="n"/>
      <c r="P28" s="53" t="n"/>
      <c r="Q28" s="8" t="n"/>
      <c r="R28" s="69" t="n"/>
      <c r="S28" s="70" t="n"/>
      <c r="T28" s="62">
        <f>S28*Q28</f>
        <v/>
      </c>
      <c r="U28" s="18" t="n"/>
      <c r="V28" s="26" t="n"/>
    </row>
    <row r="29" ht="20.1" customHeight="1" s="50">
      <c r="A29" s="22" t="n"/>
      <c r="B29" s="18" t="n"/>
      <c r="C29" s="18" t="n"/>
      <c r="D29" s="19" t="n"/>
      <c r="E29" s="53" t="n"/>
      <c r="F29" s="8" t="n"/>
      <c r="G29" s="8" t="n"/>
      <c r="H29" s="10" t="n"/>
      <c r="I29" s="62">
        <f>H29*F29</f>
        <v/>
      </c>
      <c r="J29" s="18" t="n"/>
      <c r="K29" s="26" t="n"/>
      <c r="L29" s="22" t="n"/>
      <c r="M29" s="18" t="n"/>
      <c r="N29" s="18" t="n"/>
      <c r="O29" s="19" t="n"/>
      <c r="P29" s="53" t="n"/>
      <c r="Q29" s="8" t="n"/>
      <c r="R29" s="69" t="n"/>
      <c r="S29" s="71" t="n"/>
      <c r="T29" s="62">
        <f>S29*Q29</f>
        <v/>
      </c>
      <c r="U29" s="18" t="n"/>
      <c r="V29" s="26" t="n"/>
    </row>
    <row r="30" ht="20.1" customHeight="1" s="50">
      <c r="A30" s="22" t="n"/>
      <c r="B30" s="18" t="n"/>
      <c r="C30" s="18" t="n"/>
      <c r="D30" s="19" t="n"/>
      <c r="E30" s="55" t="n"/>
      <c r="F30" s="11" t="n"/>
      <c r="G30" s="11" t="n"/>
      <c r="H30" s="10" t="n"/>
      <c r="I30" s="62">
        <f>H30*F30</f>
        <v/>
      </c>
      <c r="J30" s="18" t="n"/>
      <c r="K30" s="26" t="n"/>
      <c r="L30" s="22" t="n"/>
      <c r="M30" s="18" t="n"/>
      <c r="N30" s="18" t="n"/>
      <c r="O30" s="19" t="n"/>
      <c r="P30" s="55" t="n"/>
      <c r="Q30" s="11" t="n"/>
      <c r="R30" s="72" t="n"/>
      <c r="S30" s="71" t="n"/>
      <c r="T30" s="62">
        <f>S30*Q30</f>
        <v/>
      </c>
      <c r="U30" s="18" t="n"/>
      <c r="V30" s="26" t="n"/>
    </row>
    <row r="31" ht="20.1" customHeight="1" s="50">
      <c r="A31" s="22" t="n"/>
      <c r="B31" s="18" t="n"/>
      <c r="C31" s="18" t="n"/>
      <c r="D31" s="19" t="n"/>
      <c r="E31" s="55" t="n"/>
      <c r="F31" s="11" t="n"/>
      <c r="G31" s="11" t="n"/>
      <c r="H31" s="10" t="n"/>
      <c r="I31" s="62">
        <f>H31*F31</f>
        <v/>
      </c>
      <c r="J31" s="18" t="n"/>
      <c r="K31" s="26" t="n"/>
      <c r="L31" s="22" t="n"/>
      <c r="M31" s="18" t="n"/>
      <c r="N31" s="18" t="n"/>
      <c r="O31" s="19" t="n"/>
      <c r="P31" s="55" t="n"/>
      <c r="Q31" s="11" t="n"/>
      <c r="R31" s="72" t="n"/>
      <c r="S31" s="71" t="n"/>
      <c r="T31" s="62">
        <f>S31*Q31</f>
        <v/>
      </c>
      <c r="U31" s="18" t="n"/>
      <c r="V31" s="26" t="n"/>
    </row>
    <row r="32" ht="20.1" customHeight="1" s="50">
      <c r="A32" s="47" t="n"/>
      <c r="B32" s="18" t="n"/>
      <c r="C32" s="18" t="n"/>
      <c r="D32" s="19" t="n"/>
      <c r="E32" s="55" t="n"/>
      <c r="F32" s="11" t="n"/>
      <c r="G32" s="11" t="n"/>
      <c r="H32" s="11" t="n"/>
      <c r="I32" s="62">
        <f>H32*F32</f>
        <v/>
      </c>
      <c r="J32" s="18" t="n"/>
      <c r="K32" s="26" t="n"/>
      <c r="L32" s="24" t="n"/>
      <c r="M32" s="18" t="n"/>
      <c r="N32" s="18" t="n"/>
      <c r="O32" s="19" t="n"/>
      <c r="P32" s="55" t="n"/>
      <c r="Q32" s="11" t="n"/>
      <c r="R32" s="72" t="n"/>
      <c r="S32" s="72" t="n"/>
      <c r="T32" s="62">
        <f>S32*Q32</f>
        <v/>
      </c>
      <c r="U32" s="18" t="n"/>
      <c r="V32" s="26" t="n"/>
    </row>
    <row r="33" ht="20.1" customHeight="1" s="50">
      <c r="A33" s="36" t="inlineStr">
        <is>
          <t>小計</t>
        </is>
      </c>
      <c r="B33" s="18" t="n"/>
      <c r="C33" s="18" t="n"/>
      <c r="D33" s="18" t="n"/>
      <c r="E33" s="18" t="n"/>
      <c r="F33" s="18" t="n"/>
      <c r="G33" s="18" t="n"/>
      <c r="H33" s="19" t="n"/>
      <c r="I33" s="62">
        <f>I17</f>
        <v/>
      </c>
      <c r="J33" s="18" t="n"/>
      <c r="K33" s="26" t="n"/>
      <c r="L33" s="22" t="n"/>
      <c r="M33" s="18" t="n"/>
      <c r="N33" s="18" t="n"/>
      <c r="O33" s="19" t="n"/>
      <c r="P33" s="55" t="n"/>
      <c r="Q33" s="11" t="n"/>
      <c r="R33" s="72" t="n"/>
      <c r="S33" s="71" t="n"/>
      <c r="T33" s="62">
        <f>S33*Q33</f>
        <v/>
      </c>
      <c r="U33" s="18" t="n"/>
      <c r="V33" s="26" t="n"/>
    </row>
    <row r="34" ht="20.1" customHeight="1" s="50">
      <c r="A34" s="36" t="inlineStr">
        <is>
          <t>消費税10％</t>
        </is>
      </c>
      <c r="B34" s="18" t="n"/>
      <c r="C34" s="18" t="n"/>
      <c r="D34" s="18" t="n"/>
      <c r="E34" s="18" t="n"/>
      <c r="F34" s="18" t="n"/>
      <c r="G34" s="18" t="n"/>
      <c r="H34" s="19" t="n"/>
      <c r="I34" s="67">
        <f>I33*10%</f>
        <v/>
      </c>
      <c r="J34" s="18" t="n"/>
      <c r="K34" s="26" t="n"/>
      <c r="L34" s="24" t="n"/>
      <c r="M34" s="18" t="n"/>
      <c r="N34" s="18" t="n"/>
      <c r="O34" s="19" t="n"/>
      <c r="P34" s="55" t="n"/>
      <c r="Q34" s="11" t="n"/>
      <c r="R34" s="72" t="n"/>
      <c r="S34" s="72" t="n"/>
      <c r="T34" s="62">
        <f>S34*Q34</f>
        <v/>
      </c>
      <c r="U34" s="18" t="n"/>
      <c r="V34" s="26" t="n"/>
    </row>
    <row r="35" ht="20.1" customHeight="1" s="50" thickBot="1">
      <c r="A35" s="38" t="inlineStr">
        <is>
          <t>合計</t>
        </is>
      </c>
      <c r="B35" s="30" t="n"/>
      <c r="C35" s="30" t="n"/>
      <c r="D35" s="30" t="n"/>
      <c r="E35" s="30" t="n"/>
      <c r="F35" s="30" t="n"/>
      <c r="G35" s="30" t="n"/>
      <c r="H35" s="39" t="n"/>
      <c r="I35" s="29">
        <f>I33+I34</f>
        <v/>
      </c>
      <c r="J35" s="30" t="n"/>
      <c r="K35" s="31" t="n"/>
      <c r="L35" s="36" t="inlineStr">
        <is>
          <t>小計</t>
        </is>
      </c>
      <c r="M35" s="18" t="n"/>
      <c r="N35" s="18" t="n"/>
      <c r="O35" s="18" t="n"/>
      <c r="P35" s="18" t="n"/>
      <c r="Q35" s="18" t="n"/>
      <c r="R35" s="18" t="n"/>
      <c r="S35" s="19" t="n"/>
      <c r="T35" s="62">
        <f>SUM(T17:V34)</f>
        <v/>
      </c>
      <c r="U35" s="18" t="n"/>
      <c r="V35" s="26" t="n"/>
    </row>
    <row r="36" ht="20.1" customHeight="1" s="50">
      <c r="A36" s="49" t="inlineStr">
        <is>
          <t>今後ともよろしくお願い申し上げます。</t>
        </is>
      </c>
      <c r="L36" s="36" t="inlineStr">
        <is>
          <t>消費税10％</t>
        </is>
      </c>
      <c r="M36" s="18" t="n"/>
      <c r="N36" s="18" t="n"/>
      <c r="O36" s="18" t="n"/>
      <c r="P36" s="18" t="n"/>
      <c r="Q36" s="18" t="n"/>
      <c r="R36" s="18" t="n"/>
      <c r="S36" s="19" t="n"/>
      <c r="T36" s="67">
        <f>T35*10%</f>
        <v/>
      </c>
      <c r="U36" s="18" t="n"/>
      <c r="V36" s="26" t="n"/>
    </row>
    <row r="37" ht="20.1" customHeight="1" s="50" thickBot="1">
      <c r="L37" s="38" t="inlineStr">
        <is>
          <t>合計</t>
        </is>
      </c>
      <c r="M37" s="30" t="n"/>
      <c r="N37" s="30" t="n"/>
      <c r="O37" s="30" t="n"/>
      <c r="P37" s="30" t="n"/>
      <c r="Q37" s="30" t="n"/>
      <c r="R37" s="30" t="n"/>
      <c r="S37" s="39" t="n"/>
      <c r="T37" s="29">
        <f>T35+T36</f>
        <v/>
      </c>
      <c r="U37" s="30" t="n"/>
      <c r="V37" s="31" t="n"/>
    </row>
    <row r="38" ht="12" customHeight="1" s="50">
      <c r="A38" s="12" t="n"/>
      <c r="B38" s="12" t="n"/>
      <c r="C38" s="12" t="n"/>
      <c r="D38" s="12" t="n"/>
      <c r="E38" s="12" t="n"/>
      <c r="F38" s="12" t="n"/>
      <c r="G38" s="12" t="n"/>
      <c r="H38" s="12" t="n"/>
      <c r="I38" s="12" t="n"/>
      <c r="J38" s="12" t="n"/>
      <c r="K38" s="12" t="n"/>
      <c r="L38" s="12" t="n"/>
      <c r="M38" s="12" t="n"/>
      <c r="N38" s="12" t="n"/>
      <c r="O38" s="12" t="n"/>
      <c r="P38" s="12" t="n"/>
      <c r="Q38" s="12" t="n"/>
      <c r="R38" s="12" t="n"/>
      <c r="S38" s="12" t="n"/>
      <c r="T38" s="12" t="n"/>
      <c r="U38" s="12" t="n"/>
      <c r="V38" s="12" t="n"/>
    </row>
  </sheetData>
  <mergeCells count="125">
    <mergeCell ref="I32:K32"/>
    <mergeCell ref="H10:I10"/>
    <mergeCell ref="A20:D20"/>
    <mergeCell ref="J10:K10"/>
    <mergeCell ref="L34:O34"/>
    <mergeCell ref="L1:P2"/>
    <mergeCell ref="A29:D29"/>
    <mergeCell ref="H9:I9"/>
    <mergeCell ref="J9:K9"/>
    <mergeCell ref="L27:O27"/>
    <mergeCell ref="I24:K24"/>
    <mergeCell ref="A31:D31"/>
    <mergeCell ref="L17:O17"/>
    <mergeCell ref="T22:V22"/>
    <mergeCell ref="I17:K17"/>
    <mergeCell ref="A24:D24"/>
    <mergeCell ref="T31:V31"/>
    <mergeCell ref="A11:G11"/>
    <mergeCell ref="L19:O19"/>
    <mergeCell ref="T34:V34"/>
    <mergeCell ref="J4:K4"/>
    <mergeCell ref="L28:O28"/>
    <mergeCell ref="T28:V28"/>
    <mergeCell ref="S10:T10"/>
    <mergeCell ref="T37:V37"/>
    <mergeCell ref="F1:G2"/>
    <mergeCell ref="I34:K34"/>
    <mergeCell ref="A1:E2"/>
    <mergeCell ref="A16:D16"/>
    <mergeCell ref="S9:T9"/>
    <mergeCell ref="T30:V30"/>
    <mergeCell ref="H13:I13"/>
    <mergeCell ref="T20:V20"/>
    <mergeCell ref="A27:D27"/>
    <mergeCell ref="T29:V29"/>
    <mergeCell ref="U5:V5"/>
    <mergeCell ref="L36:S36"/>
    <mergeCell ref="U4:V4"/>
    <mergeCell ref="A17:D17"/>
    <mergeCell ref="L31:O31"/>
    <mergeCell ref="A22:D22"/>
    <mergeCell ref="I22:K22"/>
    <mergeCell ref="I28:K28"/>
    <mergeCell ref="L21:O21"/>
    <mergeCell ref="A19:D19"/>
    <mergeCell ref="T26:V26"/>
    <mergeCell ref="I21:K21"/>
    <mergeCell ref="A28:D28"/>
    <mergeCell ref="A10:G10"/>
    <mergeCell ref="L37:S37"/>
    <mergeCell ref="I23:K23"/>
    <mergeCell ref="A30:D30"/>
    <mergeCell ref="I1:K1"/>
    <mergeCell ref="T17:V17"/>
    <mergeCell ref="L16:O16"/>
    <mergeCell ref="S12:V12"/>
    <mergeCell ref="S13:T13"/>
    <mergeCell ref="U13:V13"/>
    <mergeCell ref="H11:I11"/>
    <mergeCell ref="J11:K11"/>
    <mergeCell ref="T19:V19"/>
    <mergeCell ref="A9:F9"/>
    <mergeCell ref="T32:V32"/>
    <mergeCell ref="L30:O30"/>
    <mergeCell ref="I27:K27"/>
    <mergeCell ref="A26:D26"/>
    <mergeCell ref="A12:G12"/>
    <mergeCell ref="L20:O20"/>
    <mergeCell ref="U10:V10"/>
    <mergeCell ref="L29:O29"/>
    <mergeCell ref="L10:R10"/>
    <mergeCell ref="I25:K25"/>
    <mergeCell ref="U9:V9"/>
    <mergeCell ref="L22:O22"/>
    <mergeCell ref="H12:K12"/>
    <mergeCell ref="T21:V21"/>
    <mergeCell ref="L11:R11"/>
    <mergeCell ref="T1:V1"/>
    <mergeCell ref="T23:V23"/>
    <mergeCell ref="M3:O3"/>
    <mergeCell ref="L32:O32"/>
    <mergeCell ref="I20:K20"/>
    <mergeCell ref="T16:V16"/>
    <mergeCell ref="I29:K29"/>
    <mergeCell ref="A5:D6"/>
    <mergeCell ref="T27:V27"/>
    <mergeCell ref="T36:V36"/>
    <mergeCell ref="T18:V18"/>
    <mergeCell ref="I31:K31"/>
    <mergeCell ref="A33:H33"/>
    <mergeCell ref="L24:O24"/>
    <mergeCell ref="L18:O18"/>
    <mergeCell ref="L33:O33"/>
    <mergeCell ref="T33:V33"/>
    <mergeCell ref="A35:H35"/>
    <mergeCell ref="L26:O26"/>
    <mergeCell ref="A21:D21"/>
    <mergeCell ref="T35:V35"/>
    <mergeCell ref="I26:K26"/>
    <mergeCell ref="Q1:R2"/>
    <mergeCell ref="A32:D32"/>
    <mergeCell ref="T25:V25"/>
    <mergeCell ref="L25:O25"/>
    <mergeCell ref="A34:H34"/>
    <mergeCell ref="I16:K16"/>
    <mergeCell ref="A23:D23"/>
    <mergeCell ref="J5:K5"/>
    <mergeCell ref="I18:K18"/>
    <mergeCell ref="J13:K13"/>
    <mergeCell ref="I33:K33"/>
    <mergeCell ref="L5:O6"/>
    <mergeCell ref="S11:T11"/>
    <mergeCell ref="U11:V11"/>
    <mergeCell ref="L9:Q9"/>
    <mergeCell ref="I35:K35"/>
    <mergeCell ref="I19:K19"/>
    <mergeCell ref="L35:S35"/>
    <mergeCell ref="A25:D25"/>
    <mergeCell ref="L12:R12"/>
    <mergeCell ref="I30:K30"/>
    <mergeCell ref="T24:V24"/>
    <mergeCell ref="L23:O23"/>
    <mergeCell ref="B3:D3"/>
    <mergeCell ref="A18:D18"/>
    <mergeCell ref="A36:K37"/>
  </mergeCells>
  <conditionalFormatting sqref="I17:K32">
    <cfRule type="cellIs" priority="3" operator="equal" dxfId="0">
      <formula>0</formula>
    </cfRule>
  </conditionalFormatting>
  <conditionalFormatting sqref="T17:V34">
    <cfRule type="cellIs" priority="1" operator="equal" dxfId="0">
      <formula>0</formula>
    </cfRule>
  </conditionalFormatting>
  <hyperlinks>
    <hyperlink xmlns:r="http://schemas.openxmlformats.org/officeDocument/2006/relationships" ref="A10" display="TEL:0532-88-7770" r:id="rId1"/>
    <hyperlink xmlns:r="http://schemas.openxmlformats.org/officeDocument/2006/relationships" ref="L10" display="TEL:0532-88-7770" r:id="rId2"/>
  </hyperlink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8"/>
  <sheetViews>
    <sheetView zoomScale="120" zoomScaleNormal="120" workbookViewId="0">
      <selection activeCell="N17" sqref="N17"/>
    </sheetView>
  </sheetViews>
  <sheetFormatPr baseColWidth="8" defaultRowHeight="13.2" outlineLevelCol="0"/>
  <cols>
    <col width="7.109375" customWidth="1" style="50" min="1" max="4"/>
    <col width="12.44140625" customWidth="1" style="50" min="5" max="5"/>
    <col width="6.6640625" customWidth="1" style="50" min="6" max="7"/>
    <col width="9.6640625" customWidth="1" style="50" min="8" max="8"/>
    <col width="8.109375" customWidth="1" style="50" min="9" max="9"/>
    <col width="7.44140625" customWidth="1" style="50" min="10" max="10"/>
    <col width="7.6640625" customWidth="1" style="50" min="11" max="11"/>
    <col width="9.21875" bestFit="1" customWidth="1" style="50" min="13" max="13"/>
  </cols>
  <sheetData>
    <row r="1" ht="24.9" customHeight="1" s="50">
      <c r="A1" s="25" t="n"/>
      <c r="F1" s="25" t="inlineStr">
        <is>
          <t>御中</t>
        </is>
      </c>
      <c r="I1" s="40" t="inlineStr">
        <is>
          <t>請求書兼明細書</t>
        </is>
      </c>
    </row>
    <row r="2" ht="24.9" customHeight="1" s="50">
      <c r="H2" s="0" t="inlineStr">
        <is>
          <t>登録番号</t>
        </is>
      </c>
      <c r="I2" s="1" t="inlineStr">
        <is>
          <t>T2180301030949</t>
        </is>
      </c>
      <c r="J2" s="1" t="n"/>
      <c r="K2" s="1" t="n"/>
    </row>
    <row r="3" ht="20.1" customHeight="1" s="50">
      <c r="A3" s="2" t="inlineStr">
        <is>
          <t>工事名</t>
        </is>
      </c>
      <c r="B3" s="43" t="inlineStr">
        <is>
          <t>清掃工事</t>
        </is>
      </c>
    </row>
    <row r="4" ht="20.1" customHeight="1" s="50">
      <c r="H4" s="3" t="inlineStr">
        <is>
          <t>日付：</t>
        </is>
      </c>
      <c r="I4" s="28" t="inlineStr">
        <is>
          <t>年</t>
        </is>
      </c>
      <c r="J4" s="28" t="inlineStr">
        <is>
          <t>月　日〆</t>
        </is>
      </c>
    </row>
    <row r="5" ht="20.1" customHeight="1" s="50">
      <c r="A5" s="46" t="inlineStr">
        <is>
          <t>株式会社　柚喜</t>
        </is>
      </c>
      <c r="H5" s="3" t="n"/>
      <c r="I5" s="3" t="n"/>
      <c r="J5" s="28" t="n"/>
    </row>
    <row r="6" ht="20.1" customHeight="1" s="50">
      <c r="E6" s="0" t="inlineStr">
        <is>
          <t>　　　</t>
        </is>
      </c>
    </row>
    <row r="7" ht="20.1" customHeight="1" s="50"/>
    <row r="8" ht="24.9" customHeight="1" s="50"/>
    <row r="9" ht="24.9" customHeight="1" s="50">
      <c r="A9" s="42" t="inlineStr">
        <is>
          <t>住所：　愛知県豊橋市東森岡1-7-13</t>
        </is>
      </c>
      <c r="G9" s="42" t="n"/>
      <c r="H9" s="20" t="inlineStr">
        <is>
          <t>金融機関名：</t>
        </is>
      </c>
      <c r="J9" s="23" t="inlineStr">
        <is>
          <t>豊橋信用金庫</t>
        </is>
      </c>
    </row>
    <row r="10" ht="24.9" customHeight="1" s="50">
      <c r="A10" s="37" t="inlineStr">
        <is>
          <t xml:space="preserve">　　　　　　TEL:　　0532-88-7770</t>
        </is>
      </c>
      <c r="H10" s="20" t="inlineStr">
        <is>
          <t>支店名　：</t>
        </is>
      </c>
      <c r="J10" s="23" t="inlineStr">
        <is>
          <t>牛川支店・普通</t>
        </is>
      </c>
    </row>
    <row r="11" ht="24.9" customHeight="1" s="50">
      <c r="A11" s="27" t="inlineStr">
        <is>
          <t xml:space="preserve">　　　　　　FAX:　　0532-88-4591</t>
        </is>
      </c>
      <c r="H11" s="20" t="inlineStr">
        <is>
          <t>口座名義：</t>
        </is>
      </c>
      <c r="J11" s="23" t="inlineStr">
        <is>
          <t>株式会社　柚喜</t>
        </is>
      </c>
    </row>
    <row r="12" ht="24.9" customHeight="1" s="50">
      <c r="A12" s="42" t="inlineStr">
        <is>
          <t>E-MAIL:　cs-yuzuki0109@cd5.so-net.ne.ip</t>
        </is>
      </c>
      <c r="H12" s="23" t="inlineStr">
        <is>
          <t xml:space="preserve">　　　　　　　　　代表取締役　藤澤　淳</t>
        </is>
      </c>
    </row>
    <row r="13" ht="24.9" customHeight="1" s="50">
      <c r="A13" s="5" t="n"/>
      <c r="B13" s="5" t="n"/>
      <c r="C13" s="5" t="n"/>
      <c r="D13" s="5" t="n"/>
      <c r="E13" s="5" t="n"/>
      <c r="F13" s="5" t="n"/>
      <c r="G13" s="5" t="n"/>
      <c r="H13" s="20" t="inlineStr">
        <is>
          <t>口座番号：</t>
        </is>
      </c>
      <c r="J13" s="51" t="n">
        <v>372785</v>
      </c>
    </row>
    <row r="14" ht="20.1" customHeight="1" s="50">
      <c r="A14" s="5" t="n"/>
      <c r="B14" s="5" t="n"/>
      <c r="C14" s="5" t="n"/>
      <c r="D14" s="5" t="n"/>
      <c r="E14" s="5" t="n"/>
      <c r="F14" s="5" t="n"/>
      <c r="G14" s="5" t="n"/>
    </row>
    <row r="15" ht="20.1" customHeight="1" s="50" thickBot="1">
      <c r="C15" s="6" t="n"/>
    </row>
    <row r="16" ht="21.75" customHeight="1" s="50">
      <c r="A16" s="33" t="inlineStr">
        <is>
          <t>品名・内容</t>
        </is>
      </c>
      <c r="B16" s="34" t="n"/>
      <c r="C16" s="34" t="n"/>
      <c r="D16" s="35" t="n"/>
      <c r="E16" s="44" t="inlineStr">
        <is>
          <t>日付</t>
        </is>
      </c>
      <c r="F16" s="44" t="inlineStr">
        <is>
          <t>数量</t>
        </is>
      </c>
      <c r="G16" s="44" t="inlineStr">
        <is>
          <t>単位</t>
        </is>
      </c>
      <c r="H16" s="44" t="inlineStr">
        <is>
          <t>単価</t>
        </is>
      </c>
      <c r="I16" s="61" t="inlineStr">
        <is>
          <t>金額</t>
        </is>
      </c>
      <c r="J16" s="34" t="n"/>
      <c r="K16" s="45" t="n"/>
    </row>
    <row r="17" ht="20.1" customHeight="1" s="50">
      <c r="A17" s="22" t="n"/>
      <c r="B17" s="18" t="n"/>
      <c r="C17" s="18" t="n"/>
      <c r="D17" s="19" t="n"/>
      <c r="E17" s="53" t="n"/>
      <c r="F17" s="8" t="n"/>
      <c r="G17" s="8" t="n"/>
      <c r="H17" s="9" t="n"/>
      <c r="I17" s="62">
        <f>H17*F17</f>
        <v/>
      </c>
      <c r="J17" s="18" t="n"/>
      <c r="K17" s="26" t="n"/>
    </row>
    <row r="18" ht="20.1" customHeight="1" s="50">
      <c r="A18" s="22" t="n"/>
      <c r="B18" s="18" t="n"/>
      <c r="C18" s="18" t="n"/>
      <c r="D18" s="19" t="n"/>
      <c r="E18" s="53" t="n"/>
      <c r="F18" s="8" t="n"/>
      <c r="G18" s="8" t="n"/>
      <c r="H18" s="9" t="n"/>
      <c r="I18" s="62">
        <f>H18*F18</f>
        <v/>
      </c>
      <c r="J18" s="18" t="n"/>
      <c r="K18" s="26" t="n"/>
    </row>
    <row r="19" ht="20.1" customHeight="1" s="50">
      <c r="A19" s="22" t="n"/>
      <c r="B19" s="18" t="n"/>
      <c r="C19" s="18" t="n"/>
      <c r="D19" s="19" t="n"/>
      <c r="E19" s="53" t="n"/>
      <c r="F19" s="8" t="n"/>
      <c r="G19" s="8" t="n"/>
      <c r="H19" s="9" t="n"/>
      <c r="I19" s="62">
        <f>H19*F19</f>
        <v/>
      </c>
      <c r="J19" s="18" t="n"/>
      <c r="K19" s="26" t="n"/>
    </row>
    <row r="20" ht="20.1" customHeight="1" s="50">
      <c r="A20" s="22" t="n"/>
      <c r="B20" s="18" t="n"/>
      <c r="C20" s="18" t="n"/>
      <c r="D20" s="19" t="n"/>
      <c r="E20" s="53" t="n"/>
      <c r="F20" s="8" t="n"/>
      <c r="G20" s="8" t="n"/>
      <c r="H20" s="9" t="n"/>
      <c r="I20" s="62">
        <f>H20*F20</f>
        <v/>
      </c>
      <c r="J20" s="18" t="n"/>
      <c r="K20" s="26" t="n"/>
    </row>
    <row r="21" ht="20.1" customHeight="1" s="50">
      <c r="A21" s="22" t="n"/>
      <c r="B21" s="18" t="n"/>
      <c r="C21" s="18" t="n"/>
      <c r="D21" s="19" t="n"/>
      <c r="E21" s="53" t="n"/>
      <c r="F21" s="8" t="n"/>
      <c r="G21" s="8" t="n"/>
      <c r="H21" s="9" t="n"/>
      <c r="I21" s="62">
        <f>H21*F21</f>
        <v/>
      </c>
      <c r="J21" s="18" t="n"/>
      <c r="K21" s="26" t="n"/>
    </row>
    <row r="22" ht="20.1" customHeight="1" s="50">
      <c r="A22" s="22" t="n"/>
      <c r="B22" s="18" t="n"/>
      <c r="C22" s="18" t="n"/>
      <c r="D22" s="19" t="n"/>
      <c r="E22" s="53" t="n"/>
      <c r="F22" s="8" t="n"/>
      <c r="G22" s="8" t="n"/>
      <c r="H22" s="9" t="n"/>
      <c r="I22" s="62">
        <f>H22*F22</f>
        <v/>
      </c>
      <c r="J22" s="18" t="n"/>
      <c r="K22" s="26" t="n"/>
    </row>
    <row r="23" ht="20.1" customHeight="1" s="50">
      <c r="A23" s="22" t="n"/>
      <c r="B23" s="18" t="n"/>
      <c r="C23" s="18" t="n"/>
      <c r="D23" s="19" t="n"/>
      <c r="E23" s="53" t="n"/>
      <c r="F23" s="8" t="n"/>
      <c r="G23" s="8" t="n"/>
      <c r="H23" s="9" t="n"/>
      <c r="I23" s="62">
        <f>H23*F23</f>
        <v/>
      </c>
      <c r="J23" s="18" t="n"/>
      <c r="K23" s="26" t="n"/>
    </row>
    <row r="24" ht="20.1" customHeight="1" s="50">
      <c r="A24" s="22" t="n"/>
      <c r="B24" s="18" t="n"/>
      <c r="C24" s="18" t="n"/>
      <c r="D24" s="19" t="n"/>
      <c r="E24" s="53" t="n"/>
      <c r="F24" s="8" t="n"/>
      <c r="G24" s="8" t="n"/>
      <c r="H24" s="9" t="n"/>
      <c r="I24" s="62">
        <f>H24*F24</f>
        <v/>
      </c>
      <c r="J24" s="18" t="n"/>
      <c r="K24" s="26" t="n"/>
    </row>
    <row r="25" ht="20.1" customHeight="1" s="50">
      <c r="A25" s="22" t="n"/>
      <c r="B25" s="18" t="n"/>
      <c r="C25" s="18" t="n"/>
      <c r="D25" s="19" t="n"/>
      <c r="E25" s="53" t="n"/>
      <c r="F25" s="8" t="n"/>
      <c r="G25" s="8" t="n"/>
      <c r="H25" s="9" t="n"/>
      <c r="I25" s="62">
        <f>H25*F25</f>
        <v/>
      </c>
      <c r="J25" s="18" t="n"/>
      <c r="K25" s="26" t="n"/>
    </row>
    <row r="26" ht="20.1" customHeight="1" s="50">
      <c r="A26" s="22" t="n"/>
      <c r="B26" s="18" t="n"/>
      <c r="C26" s="18" t="n"/>
      <c r="D26" s="19" t="n"/>
      <c r="E26" s="53" t="n"/>
      <c r="F26" s="8" t="n"/>
      <c r="G26" s="8" t="n"/>
      <c r="H26" s="9" t="n"/>
      <c r="I26" s="62">
        <f>H26*F26</f>
        <v/>
      </c>
      <c r="J26" s="18" t="n"/>
      <c r="K26" s="26" t="n"/>
    </row>
    <row r="27" ht="20.1" customHeight="1" s="50">
      <c r="A27" s="22" t="n"/>
      <c r="B27" s="18" t="n"/>
      <c r="C27" s="18" t="n"/>
      <c r="D27" s="19" t="n"/>
      <c r="E27" s="53" t="n"/>
      <c r="F27" s="8" t="n"/>
      <c r="G27" s="8" t="n"/>
      <c r="H27" s="9" t="n"/>
      <c r="I27" s="62">
        <f>H27*F27</f>
        <v/>
      </c>
      <c r="J27" s="18" t="n"/>
      <c r="K27" s="26" t="n"/>
    </row>
    <row r="28" ht="20.1" customHeight="1" s="50">
      <c r="A28" s="22" t="n"/>
      <c r="B28" s="18" t="n"/>
      <c r="C28" s="18" t="n"/>
      <c r="D28" s="19" t="n"/>
      <c r="E28" s="53" t="n"/>
      <c r="F28" s="8" t="n"/>
      <c r="G28" s="8" t="n"/>
      <c r="H28" s="9" t="n"/>
      <c r="I28" s="62">
        <f>H28*F28</f>
        <v/>
      </c>
      <c r="J28" s="18" t="n"/>
      <c r="K28" s="26" t="n"/>
    </row>
    <row r="29" ht="20.1" customHeight="1" s="50">
      <c r="A29" s="22" t="n"/>
      <c r="B29" s="18" t="n"/>
      <c r="C29" s="18" t="n"/>
      <c r="D29" s="19" t="n"/>
      <c r="E29" s="53" t="n"/>
      <c r="F29" s="8" t="n"/>
      <c r="G29" s="8" t="n"/>
      <c r="H29" s="10" t="n"/>
      <c r="I29" s="62">
        <f>H29*F29</f>
        <v/>
      </c>
      <c r="J29" s="18" t="n"/>
      <c r="K29" s="26" t="n"/>
    </row>
    <row r="30" ht="20.1" customHeight="1" s="50">
      <c r="A30" s="22" t="n"/>
      <c r="B30" s="18" t="n"/>
      <c r="C30" s="18" t="n"/>
      <c r="D30" s="19" t="n"/>
      <c r="E30" s="55" t="n"/>
      <c r="F30" s="11" t="n"/>
      <c r="G30" s="11" t="n"/>
      <c r="H30" s="10" t="n"/>
      <c r="I30" s="62">
        <f>H30*F30</f>
        <v/>
      </c>
      <c r="J30" s="18" t="n"/>
      <c r="K30" s="26" t="n"/>
    </row>
    <row r="31" ht="20.1" customHeight="1" s="50">
      <c r="A31" s="22" t="n"/>
      <c r="B31" s="18" t="n"/>
      <c r="C31" s="18" t="n"/>
      <c r="D31" s="19" t="n"/>
      <c r="E31" s="55" t="n"/>
      <c r="F31" s="11" t="n"/>
      <c r="G31" s="11" t="n"/>
      <c r="H31" s="10" t="n"/>
      <c r="I31" s="62">
        <f>H31*F31</f>
        <v/>
      </c>
      <c r="J31" s="18" t="n"/>
      <c r="K31" s="26" t="n"/>
    </row>
    <row r="32" ht="20.1" customHeight="1" s="50">
      <c r="A32" s="47" t="n"/>
      <c r="B32" s="18" t="n"/>
      <c r="C32" s="18" t="n"/>
      <c r="D32" s="19" t="n"/>
      <c r="E32" s="55" t="n"/>
      <c r="F32" s="11" t="n"/>
      <c r="G32" s="11" t="n"/>
      <c r="H32" s="11" t="n"/>
      <c r="I32" s="62">
        <f>H32*F32</f>
        <v/>
      </c>
      <c r="J32" s="18" t="n"/>
      <c r="K32" s="26" t="n"/>
    </row>
    <row r="33" ht="20.1" customHeight="1" s="50">
      <c r="A33" s="36" t="inlineStr">
        <is>
          <t>小計</t>
        </is>
      </c>
      <c r="B33" s="18" t="n"/>
      <c r="C33" s="18" t="n"/>
      <c r="D33" s="18" t="n"/>
      <c r="E33" s="18" t="n"/>
      <c r="F33" s="18" t="n"/>
      <c r="G33" s="18" t="n"/>
      <c r="H33" s="19" t="n"/>
      <c r="I33" s="62">
        <f>SUM(I17:K32)</f>
        <v/>
      </c>
      <c r="J33" s="18" t="n"/>
      <c r="K33" s="26" t="n"/>
    </row>
    <row r="34" ht="20.1" customHeight="1" s="50">
      <c r="A34" s="36" t="inlineStr">
        <is>
          <t>消費税10％</t>
        </is>
      </c>
      <c r="B34" s="18" t="n"/>
      <c r="C34" s="18" t="n"/>
      <c r="D34" s="18" t="n"/>
      <c r="E34" s="18" t="n"/>
      <c r="F34" s="18" t="n"/>
      <c r="G34" s="18" t="n"/>
      <c r="H34" s="19" t="n"/>
      <c r="I34" s="67">
        <f>I33*10%</f>
        <v/>
      </c>
      <c r="J34" s="18" t="n"/>
      <c r="K34" s="26" t="n"/>
    </row>
    <row r="35" ht="20.1" customHeight="1" s="50" thickBot="1">
      <c r="A35" s="38" t="inlineStr">
        <is>
          <t>合計</t>
        </is>
      </c>
      <c r="B35" s="30" t="n"/>
      <c r="C35" s="30" t="n"/>
      <c r="D35" s="30" t="n"/>
      <c r="E35" s="30" t="n"/>
      <c r="F35" s="30" t="n"/>
      <c r="G35" s="30" t="n"/>
      <c r="H35" s="39" t="n"/>
      <c r="I35" s="29">
        <f>I33+I34</f>
        <v/>
      </c>
      <c r="J35" s="30" t="n"/>
      <c r="K35" s="31" t="n"/>
    </row>
    <row r="36" ht="20.1" customHeight="1" s="50">
      <c r="A36" s="49" t="inlineStr">
        <is>
          <t>今後ともよろしくお願い申し上げます。</t>
        </is>
      </c>
    </row>
    <row r="37" ht="20.1" customHeight="1" s="50"/>
    <row r="38" ht="12" customHeight="1" s="50">
      <c r="A38" s="12" t="n"/>
      <c r="B38" s="12" t="n"/>
      <c r="C38" s="12" t="n"/>
      <c r="D38" s="12" t="n"/>
      <c r="E38" s="12" t="n"/>
      <c r="F38" s="12" t="n"/>
      <c r="G38" s="12" t="n"/>
      <c r="H38" s="12" t="n"/>
      <c r="I38" s="12" t="n"/>
      <c r="J38" s="12" t="n"/>
      <c r="K38" s="12" t="n"/>
    </row>
  </sheetData>
  <mergeCells count="61">
    <mergeCell ref="I16:K16"/>
    <mergeCell ref="A17:D17"/>
    <mergeCell ref="I32:K32"/>
    <mergeCell ref="A23:D23"/>
    <mergeCell ref="J5:K5"/>
    <mergeCell ref="A22:D22"/>
    <mergeCell ref="I22:K22"/>
    <mergeCell ref="H10:I10"/>
    <mergeCell ref="I28:K28"/>
    <mergeCell ref="A20:D20"/>
    <mergeCell ref="J10:K10"/>
    <mergeCell ref="H12:K12"/>
    <mergeCell ref="A29:D29"/>
    <mergeCell ref="I18:K18"/>
    <mergeCell ref="A19:D19"/>
    <mergeCell ref="I21:K21"/>
    <mergeCell ref="J13:K13"/>
    <mergeCell ref="A28:D28"/>
    <mergeCell ref="H9:I9"/>
    <mergeCell ref="A10:G10"/>
    <mergeCell ref="J9:K9"/>
    <mergeCell ref="I33:K33"/>
    <mergeCell ref="I24:K24"/>
    <mergeCell ref="A31:D31"/>
    <mergeCell ref="I23:K23"/>
    <mergeCell ref="A30:D30"/>
    <mergeCell ref="I1:K1"/>
    <mergeCell ref="I17:K17"/>
    <mergeCell ref="A24:D24"/>
    <mergeCell ref="I35:K35"/>
    <mergeCell ref="I20:K20"/>
    <mergeCell ref="A11:G11"/>
    <mergeCell ref="I29:K29"/>
    <mergeCell ref="I19:K19"/>
    <mergeCell ref="H11:I11"/>
    <mergeCell ref="J4:K4"/>
    <mergeCell ref="A5:D6"/>
    <mergeCell ref="J11:K11"/>
    <mergeCell ref="A9:F9"/>
    <mergeCell ref="F1:G2"/>
    <mergeCell ref="I31:K31"/>
    <mergeCell ref="A25:D25"/>
    <mergeCell ref="I34:K34"/>
    <mergeCell ref="A1:E2"/>
    <mergeCell ref="A16:D16"/>
    <mergeCell ref="A33:H33"/>
    <mergeCell ref="I30:K30"/>
    <mergeCell ref="H13:I13"/>
    <mergeCell ref="B3:D3"/>
    <mergeCell ref="A18:D18"/>
    <mergeCell ref="A27:D27"/>
    <mergeCell ref="A35:H35"/>
    <mergeCell ref="I27:K27"/>
    <mergeCell ref="A36:K37"/>
    <mergeCell ref="A26:D26"/>
    <mergeCell ref="A12:G12"/>
    <mergeCell ref="A21:D21"/>
    <mergeCell ref="I26:K26"/>
    <mergeCell ref="A32:D32"/>
    <mergeCell ref="I25:K25"/>
    <mergeCell ref="A34:H34"/>
  </mergeCells>
  <conditionalFormatting sqref="I17:K32">
    <cfRule type="cellIs" priority="3" operator="equal" dxfId="0">
      <formula>0</formula>
    </cfRule>
  </conditionalFormatting>
  <hyperlinks>
    <hyperlink xmlns:r="http://schemas.openxmlformats.org/officeDocument/2006/relationships" ref="A10" display="TEL:0532-88-7770" r:id="rId1"/>
  </hyperlink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38"/>
  <sheetViews>
    <sheetView zoomScale="120" zoomScaleNormal="120" workbookViewId="0">
      <selection activeCell="A16" sqref="A16:K35"/>
    </sheetView>
  </sheetViews>
  <sheetFormatPr baseColWidth="8" defaultRowHeight="13.2" outlineLevelCol="0"/>
  <cols>
    <col width="7.109375" customWidth="1" style="50" min="1" max="4"/>
    <col width="12.44140625" customWidth="1" style="50" min="5" max="5"/>
    <col width="6.6640625" customWidth="1" style="50" min="6" max="7"/>
    <col width="9.6640625" customWidth="1" style="50" min="8" max="8"/>
    <col width="8.109375" customWidth="1" style="50" min="9" max="9"/>
    <col width="7.44140625" customWidth="1" style="50" min="10" max="10"/>
    <col width="7.6640625" customWidth="1" style="50" min="11" max="14"/>
    <col width="9.6640625" customWidth="1" style="50" min="15" max="15"/>
    <col width="10.6640625" customWidth="1" style="50" min="16" max="16"/>
    <col width="6.6640625" customWidth="1" style="50" min="17" max="17"/>
    <col width="7.109375" customWidth="1" style="50" min="18" max="18"/>
    <col width="8.6640625" customWidth="1" style="50" min="19" max="19"/>
    <col width="7.6640625" customWidth="1" style="50" min="20" max="21"/>
    <col width="7.44140625" customWidth="1" style="50" min="22" max="22"/>
    <col width="9.21875" bestFit="1" customWidth="1" style="50" min="24" max="24"/>
  </cols>
  <sheetData>
    <row r="1" ht="24.9" customHeight="1" s="50">
      <c r="A1" s="40" t="inlineStr">
        <is>
          <t>サンエイ株式会社</t>
        </is>
      </c>
      <c r="D1" s="48" t="inlineStr">
        <is>
          <t>営統事業部</t>
        </is>
      </c>
      <c r="F1" s="25" t="inlineStr">
        <is>
          <t>御中</t>
        </is>
      </c>
      <c r="I1" s="40" t="inlineStr">
        <is>
          <t>請求書</t>
        </is>
      </c>
      <c r="L1" s="40" t="inlineStr">
        <is>
          <t>サンエイ株式会社</t>
        </is>
      </c>
      <c r="O1" s="48" t="inlineStr">
        <is>
          <t>営統事業部</t>
        </is>
      </c>
      <c r="Q1" s="25" t="inlineStr">
        <is>
          <t>御中</t>
        </is>
      </c>
      <c r="T1" s="40" t="inlineStr">
        <is>
          <t>請求明細書</t>
        </is>
      </c>
    </row>
    <row r="2" ht="24.9" customHeight="1" s="50">
      <c r="D2" s="48" t="inlineStr">
        <is>
          <t>建設課</t>
        </is>
      </c>
      <c r="H2" s="0" t="inlineStr">
        <is>
          <t>登録番号</t>
        </is>
      </c>
      <c r="I2" s="1" t="inlineStr">
        <is>
          <t>T2180301030949</t>
        </is>
      </c>
      <c r="J2" s="1" t="n"/>
      <c r="K2" s="1" t="n"/>
      <c r="O2" s="48" t="inlineStr">
        <is>
          <t>建設課</t>
        </is>
      </c>
      <c r="S2" s="0" t="inlineStr">
        <is>
          <t>登録番号</t>
        </is>
      </c>
      <c r="T2" s="1" t="inlineStr">
        <is>
          <t>T2180301030949</t>
        </is>
      </c>
      <c r="U2" s="1" t="n"/>
      <c r="V2" s="1" t="n"/>
    </row>
    <row r="3" ht="20.1" customHeight="1" s="50">
      <c r="A3" s="2" t="inlineStr">
        <is>
          <t>工事名</t>
        </is>
      </c>
      <c r="B3" s="43" t="inlineStr">
        <is>
          <t>清掃応援工事</t>
        </is>
      </c>
      <c r="L3" s="2" t="inlineStr">
        <is>
          <t>工事名</t>
        </is>
      </c>
      <c r="M3" s="43" t="inlineStr">
        <is>
          <t>清掃応援工事</t>
        </is>
      </c>
    </row>
    <row r="4" ht="20.1" customHeight="1" s="50">
      <c r="H4" s="3" t="inlineStr">
        <is>
          <t>日付：</t>
        </is>
      </c>
      <c r="I4" s="28" t="inlineStr">
        <is>
          <t>年</t>
        </is>
      </c>
      <c r="J4" s="28" t="inlineStr">
        <is>
          <t>月　日〆</t>
        </is>
      </c>
      <c r="S4" s="3" t="inlineStr">
        <is>
          <t>日付：</t>
        </is>
      </c>
      <c r="T4" s="28" t="inlineStr">
        <is>
          <t>年</t>
        </is>
      </c>
      <c r="U4" s="28" t="inlineStr">
        <is>
          <t>月　日〆</t>
        </is>
      </c>
    </row>
    <row r="5" ht="20.1" customHeight="1" s="50">
      <c r="A5" s="46" t="inlineStr">
        <is>
          <t>株式会社　柚喜</t>
        </is>
      </c>
      <c r="H5" s="3" t="n"/>
      <c r="I5" s="3" t="n"/>
      <c r="J5" s="28" t="n"/>
      <c r="L5" s="46" t="inlineStr">
        <is>
          <t>株式会社　柚喜</t>
        </is>
      </c>
      <c r="S5" s="3" t="n"/>
      <c r="T5" s="3" t="n"/>
      <c r="U5" s="28" t="n"/>
    </row>
    <row r="6" ht="20.1" customHeight="1" s="50">
      <c r="E6" s="0" t="inlineStr">
        <is>
          <t>　　　</t>
        </is>
      </c>
      <c r="P6" s="0" t="inlineStr">
        <is>
          <t>　　　</t>
        </is>
      </c>
    </row>
    <row r="7" ht="20.1" customHeight="1" s="50"/>
    <row r="8" ht="24.9" customHeight="1" s="50"/>
    <row r="9" ht="24.9" customHeight="1" s="50">
      <c r="A9" s="42" t="inlineStr">
        <is>
          <t>住所：　愛知県豊橋市東森岡1-7-13</t>
        </is>
      </c>
      <c r="G9" s="42" t="n"/>
      <c r="H9" s="20" t="inlineStr">
        <is>
          <t>金融機関名：</t>
        </is>
      </c>
      <c r="J9" s="23" t="inlineStr">
        <is>
          <t>豊橋信用金庫</t>
        </is>
      </c>
      <c r="L9" s="42" t="inlineStr">
        <is>
          <t>住所：　愛知県豊橋市東森岡1-7-13</t>
        </is>
      </c>
      <c r="R9" s="42" t="n"/>
      <c r="S9" s="20" t="n"/>
      <c r="U9" s="23" t="n"/>
    </row>
    <row r="10" ht="24.9" customHeight="1" s="50">
      <c r="A10" s="37" t="inlineStr">
        <is>
          <t xml:space="preserve">　　　　　　TEL:　　0532-88-7770</t>
        </is>
      </c>
      <c r="H10" s="20" t="inlineStr">
        <is>
          <t>支店名　：</t>
        </is>
      </c>
      <c r="J10" s="23" t="inlineStr">
        <is>
          <t>牛川支店・普通</t>
        </is>
      </c>
      <c r="L10" s="37" t="inlineStr">
        <is>
          <t xml:space="preserve">　　　　　　TEL:　　0532-88-7770</t>
        </is>
      </c>
      <c r="S10" s="20" t="n"/>
      <c r="U10" s="23" t="n"/>
    </row>
    <row r="11" ht="24.9" customHeight="1" s="50">
      <c r="A11" s="27" t="inlineStr">
        <is>
          <t xml:space="preserve">　　　　　　FAX:　　0532-88-4591</t>
        </is>
      </c>
      <c r="H11" s="20" t="inlineStr">
        <is>
          <t>口座名義：</t>
        </is>
      </c>
      <c r="J11" s="23" t="inlineStr">
        <is>
          <t>株式会社　柚喜</t>
        </is>
      </c>
      <c r="L11" s="27" t="inlineStr">
        <is>
          <t xml:space="preserve">　　　　　　FAX:　　0532-88-4591</t>
        </is>
      </c>
      <c r="S11" s="20" t="n"/>
      <c r="U11" s="23" t="n"/>
    </row>
    <row r="12" ht="24.9" customHeight="1" s="50">
      <c r="A12" s="42" t="inlineStr">
        <is>
          <t>E-MAIL:　cs-yuzuki0109@cd5.so-net.ne.ip</t>
        </is>
      </c>
      <c r="H12" s="23" t="inlineStr">
        <is>
          <t xml:space="preserve">　　　　　　　　　代表取締役　藤澤　淳</t>
        </is>
      </c>
      <c r="L12" s="42" t="inlineStr">
        <is>
          <t>E-MAIL:　cs-yuzuki0109@cd5.so-net.ne.ip</t>
        </is>
      </c>
      <c r="S12" s="23" t="n"/>
    </row>
    <row r="13" ht="24.9" customHeight="1" s="50">
      <c r="A13" s="5" t="n"/>
      <c r="B13" s="5" t="n"/>
      <c r="C13" s="5" t="n"/>
      <c r="D13" s="5" t="n"/>
      <c r="E13" s="5" t="n"/>
      <c r="F13" s="5" t="n"/>
      <c r="G13" s="5" t="n"/>
      <c r="H13" s="20" t="inlineStr">
        <is>
          <t>口座番号：</t>
        </is>
      </c>
      <c r="J13" s="51" t="n">
        <v>372785</v>
      </c>
      <c r="L13" s="5" t="n"/>
      <c r="M13" s="5" t="n"/>
      <c r="N13" s="5" t="n"/>
      <c r="O13" s="5" t="n"/>
      <c r="P13" s="5" t="n"/>
      <c r="Q13" s="5" t="n"/>
      <c r="R13" s="5" t="n"/>
      <c r="S13" s="20" t="n"/>
      <c r="U13" s="51" t="n"/>
    </row>
    <row r="14" ht="20.1" customHeight="1" s="50">
      <c r="A14" s="5" t="n"/>
      <c r="B14" s="5" t="n"/>
      <c r="C14" s="5" t="n"/>
      <c r="D14" s="5" t="n"/>
      <c r="E14" s="5" t="n"/>
      <c r="F14" s="5" t="n"/>
      <c r="G14" s="5" t="n"/>
      <c r="L14" s="5" t="n"/>
      <c r="M14" s="5" t="n"/>
      <c r="N14" s="5" t="n"/>
      <c r="O14" s="5" t="n"/>
      <c r="P14" s="5" t="n"/>
      <c r="Q14" s="5" t="n"/>
      <c r="R14" s="5" t="n"/>
    </row>
    <row r="15" ht="20.1" customHeight="1" s="50" thickBot="1">
      <c r="C15" s="6" t="n"/>
      <c r="N15" s="6" t="n"/>
    </row>
    <row r="16" ht="21.75" customHeight="1" s="50">
      <c r="A16" s="33" t="inlineStr">
        <is>
          <t>品名・内容</t>
        </is>
      </c>
      <c r="B16" s="34" t="n"/>
      <c r="C16" s="34" t="n"/>
      <c r="D16" s="35" t="n"/>
      <c r="E16" s="44" t="inlineStr">
        <is>
          <t>日付</t>
        </is>
      </c>
      <c r="F16" s="44" t="inlineStr">
        <is>
          <t>数量</t>
        </is>
      </c>
      <c r="G16" s="44" t="inlineStr">
        <is>
          <t>単位</t>
        </is>
      </c>
      <c r="H16" s="44" t="inlineStr">
        <is>
          <t>単価</t>
        </is>
      </c>
      <c r="I16" s="61" t="inlineStr">
        <is>
          <t>金額</t>
        </is>
      </c>
      <c r="J16" s="34" t="n"/>
      <c r="K16" s="45" t="n"/>
      <c r="L16" s="33" t="inlineStr">
        <is>
          <t>品名・内容</t>
        </is>
      </c>
      <c r="M16" s="34" t="n"/>
      <c r="N16" s="34" t="n"/>
      <c r="O16" s="35" t="n"/>
      <c r="P16" s="44" t="inlineStr">
        <is>
          <t>日付</t>
        </is>
      </c>
      <c r="Q16" s="44" t="inlineStr">
        <is>
          <t>数量</t>
        </is>
      </c>
      <c r="R16" s="68" t="inlineStr">
        <is>
          <t>単位</t>
        </is>
      </c>
      <c r="S16" s="68" t="inlineStr">
        <is>
          <t>単価</t>
        </is>
      </c>
      <c r="T16" s="61" t="inlineStr">
        <is>
          <t>金額</t>
        </is>
      </c>
      <c r="U16" s="34" t="n"/>
      <c r="V16" s="45" t="n"/>
    </row>
    <row r="17" ht="20.1" customHeight="1" s="50">
      <c r="A17" s="22" t="inlineStr">
        <is>
          <t>清掃応援工事</t>
        </is>
      </c>
      <c r="B17" s="18" t="n"/>
      <c r="C17" s="18" t="n"/>
      <c r="D17" s="19" t="n"/>
      <c r="E17" s="53" t="n"/>
      <c r="F17" s="8" t="n"/>
      <c r="G17" s="8" t="n"/>
      <c r="H17" s="9" t="n"/>
      <c r="I17" s="62">
        <f>T35</f>
        <v/>
      </c>
      <c r="J17" s="18" t="n"/>
      <c r="K17" s="26" t="n"/>
      <c r="L17" s="22" t="n"/>
      <c r="M17" s="18" t="n"/>
      <c r="N17" s="18" t="n"/>
      <c r="O17" s="19" t="n"/>
      <c r="P17" s="53" t="n"/>
      <c r="Q17" s="8" t="n"/>
      <c r="R17" s="69" t="n"/>
      <c r="S17" s="70" t="n"/>
      <c r="T17" s="62">
        <f>S17*Q17</f>
        <v/>
      </c>
      <c r="U17" s="18" t="n"/>
      <c r="V17" s="26" t="n"/>
    </row>
    <row r="18" ht="20.1" customHeight="1" s="50">
      <c r="A18" s="22" t="n"/>
      <c r="B18" s="18" t="n"/>
      <c r="C18" s="18" t="n"/>
      <c r="D18" s="19" t="n"/>
      <c r="E18" s="53" t="n"/>
      <c r="F18" s="8" t="n"/>
      <c r="G18" s="8" t="n"/>
      <c r="H18" s="9" t="n"/>
      <c r="I18" s="62">
        <f>H18*F18</f>
        <v/>
      </c>
      <c r="J18" s="18" t="n"/>
      <c r="K18" s="26" t="n"/>
      <c r="L18" s="22" t="n"/>
      <c r="M18" s="18" t="n"/>
      <c r="N18" s="18" t="n"/>
      <c r="O18" s="19" t="n"/>
      <c r="P18" s="53" t="n"/>
      <c r="Q18" s="8" t="n"/>
      <c r="R18" s="69" t="n"/>
      <c r="S18" s="70" t="n"/>
      <c r="T18" s="62">
        <f>S18*Q18</f>
        <v/>
      </c>
      <c r="U18" s="18" t="n"/>
      <c r="V18" s="26" t="n"/>
    </row>
    <row r="19" ht="20.1" customHeight="1" s="50">
      <c r="A19" s="22" t="n"/>
      <c r="B19" s="18" t="n"/>
      <c r="C19" s="18" t="n"/>
      <c r="D19" s="19" t="n"/>
      <c r="E19" s="53" t="n"/>
      <c r="F19" s="8" t="n"/>
      <c r="G19" s="8" t="n"/>
      <c r="H19" s="9" t="n"/>
      <c r="I19" s="62">
        <f>H19*F19</f>
        <v/>
      </c>
      <c r="J19" s="18" t="n"/>
      <c r="K19" s="26" t="n"/>
      <c r="L19" s="22" t="n"/>
      <c r="M19" s="18" t="n"/>
      <c r="N19" s="18" t="n"/>
      <c r="O19" s="19" t="n"/>
      <c r="P19" s="53" t="n"/>
      <c r="Q19" s="8" t="n"/>
      <c r="R19" s="69" t="n"/>
      <c r="S19" s="70" t="n"/>
      <c r="T19" s="62">
        <f>S19*Q19</f>
        <v/>
      </c>
      <c r="U19" s="18" t="n"/>
      <c r="V19" s="26" t="n"/>
    </row>
    <row r="20" ht="20.1" customHeight="1" s="50">
      <c r="A20" s="22" t="n"/>
      <c r="B20" s="18" t="n"/>
      <c r="C20" s="18" t="n"/>
      <c r="D20" s="19" t="n"/>
      <c r="E20" s="53" t="n"/>
      <c r="F20" s="8" t="n"/>
      <c r="G20" s="8" t="n"/>
      <c r="H20" s="9" t="n"/>
      <c r="I20" s="62">
        <f>H20*F20</f>
        <v/>
      </c>
      <c r="J20" s="18" t="n"/>
      <c r="K20" s="26" t="n"/>
      <c r="L20" s="22" t="n"/>
      <c r="M20" s="18" t="n"/>
      <c r="N20" s="18" t="n"/>
      <c r="O20" s="19" t="n"/>
      <c r="P20" s="53" t="n"/>
      <c r="Q20" s="8" t="n"/>
      <c r="R20" s="69" t="n"/>
      <c r="S20" s="70" t="n"/>
      <c r="T20" s="62">
        <f>S20*Q20</f>
        <v/>
      </c>
      <c r="U20" s="18" t="n"/>
      <c r="V20" s="26" t="n"/>
    </row>
    <row r="21" ht="20.1" customHeight="1" s="50">
      <c r="A21" s="22" t="n"/>
      <c r="B21" s="18" t="n"/>
      <c r="C21" s="18" t="n"/>
      <c r="D21" s="19" t="n"/>
      <c r="E21" s="53" t="n"/>
      <c r="F21" s="8" t="n"/>
      <c r="G21" s="8" t="n"/>
      <c r="H21" s="9" t="n"/>
      <c r="I21" s="62">
        <f>H21*F21</f>
        <v/>
      </c>
      <c r="J21" s="18" t="n"/>
      <c r="K21" s="26" t="n"/>
      <c r="L21" s="22" t="n"/>
      <c r="M21" s="18" t="n"/>
      <c r="N21" s="18" t="n"/>
      <c r="O21" s="19" t="n"/>
      <c r="P21" s="53" t="n"/>
      <c r="Q21" s="8" t="n"/>
      <c r="R21" s="69" t="n"/>
      <c r="S21" s="70" t="n"/>
      <c r="T21" s="62">
        <f>S21*Q21</f>
        <v/>
      </c>
      <c r="U21" s="18" t="n"/>
      <c r="V21" s="26" t="n"/>
    </row>
    <row r="22" ht="20.1" customHeight="1" s="50">
      <c r="A22" s="22" t="n"/>
      <c r="B22" s="18" t="n"/>
      <c r="C22" s="18" t="n"/>
      <c r="D22" s="19" t="n"/>
      <c r="E22" s="53" t="n"/>
      <c r="F22" s="8" t="n"/>
      <c r="G22" s="8" t="n"/>
      <c r="H22" s="9" t="n"/>
      <c r="I22" s="62">
        <f>H22*F22</f>
        <v/>
      </c>
      <c r="J22" s="18" t="n"/>
      <c r="K22" s="26" t="n"/>
      <c r="L22" s="22" t="n"/>
      <c r="M22" s="18" t="n"/>
      <c r="N22" s="18" t="n"/>
      <c r="O22" s="19" t="n"/>
      <c r="P22" s="53" t="n"/>
      <c r="Q22" s="8" t="n"/>
      <c r="R22" s="69" t="n"/>
      <c r="S22" s="70" t="n"/>
      <c r="T22" s="62">
        <f>S22*Q22</f>
        <v/>
      </c>
      <c r="U22" s="18" t="n"/>
      <c r="V22" s="26" t="n"/>
    </row>
    <row r="23" ht="20.1" customHeight="1" s="50">
      <c r="A23" s="22" t="n"/>
      <c r="B23" s="18" t="n"/>
      <c r="C23" s="18" t="n"/>
      <c r="D23" s="19" t="n"/>
      <c r="E23" s="53" t="n"/>
      <c r="F23" s="8" t="n"/>
      <c r="G23" s="8" t="n"/>
      <c r="H23" s="9" t="n"/>
      <c r="I23" s="62">
        <f>H23*F23</f>
        <v/>
      </c>
      <c r="J23" s="18" t="n"/>
      <c r="K23" s="26" t="n"/>
      <c r="L23" s="22" t="n"/>
      <c r="M23" s="18" t="n"/>
      <c r="N23" s="18" t="n"/>
      <c r="O23" s="19" t="n"/>
      <c r="P23" s="53" t="n"/>
      <c r="Q23" s="8" t="n"/>
      <c r="R23" s="69" t="n"/>
      <c r="S23" s="70" t="n"/>
      <c r="T23" s="62">
        <f>S23*Q23</f>
        <v/>
      </c>
      <c r="U23" s="18" t="n"/>
      <c r="V23" s="26" t="n"/>
    </row>
    <row r="24" ht="20.1" customHeight="1" s="50">
      <c r="A24" s="22" t="n"/>
      <c r="B24" s="18" t="n"/>
      <c r="C24" s="18" t="n"/>
      <c r="D24" s="19" t="n"/>
      <c r="E24" s="53" t="n"/>
      <c r="F24" s="8" t="n"/>
      <c r="G24" s="8" t="n"/>
      <c r="H24" s="9" t="n"/>
      <c r="I24" s="62">
        <f>H24*F24</f>
        <v/>
      </c>
      <c r="J24" s="18" t="n"/>
      <c r="K24" s="26" t="n"/>
      <c r="L24" s="22" t="n"/>
      <c r="M24" s="18" t="n"/>
      <c r="N24" s="18" t="n"/>
      <c r="O24" s="19" t="n"/>
      <c r="P24" s="53" t="n"/>
      <c r="Q24" s="8" t="n"/>
      <c r="R24" s="69" t="n"/>
      <c r="S24" s="70" t="n"/>
      <c r="T24" s="62">
        <f>S24*Q24</f>
        <v/>
      </c>
      <c r="U24" s="18" t="n"/>
      <c r="V24" s="26" t="n"/>
    </row>
    <row r="25" ht="20.1" customHeight="1" s="50">
      <c r="A25" s="22" t="n"/>
      <c r="B25" s="18" t="n"/>
      <c r="C25" s="18" t="n"/>
      <c r="D25" s="19" t="n"/>
      <c r="E25" s="53" t="n"/>
      <c r="F25" s="8" t="n"/>
      <c r="G25" s="8" t="n"/>
      <c r="H25" s="9" t="n"/>
      <c r="I25" s="62">
        <f>H25*F25</f>
        <v/>
      </c>
      <c r="J25" s="18" t="n"/>
      <c r="K25" s="26" t="n"/>
      <c r="L25" s="22" t="n"/>
      <c r="M25" s="18" t="n"/>
      <c r="N25" s="18" t="n"/>
      <c r="O25" s="19" t="n"/>
      <c r="P25" s="53" t="n"/>
      <c r="Q25" s="8" t="n"/>
      <c r="R25" s="69" t="n"/>
      <c r="S25" s="70" t="n"/>
      <c r="T25" s="62">
        <f>S25*Q25</f>
        <v/>
      </c>
      <c r="U25" s="18" t="n"/>
      <c r="V25" s="26" t="n"/>
    </row>
    <row r="26" ht="20.1" customHeight="1" s="50">
      <c r="A26" s="22" t="n"/>
      <c r="B26" s="18" t="n"/>
      <c r="C26" s="18" t="n"/>
      <c r="D26" s="19" t="n"/>
      <c r="E26" s="53" t="n"/>
      <c r="F26" s="8" t="n"/>
      <c r="G26" s="8" t="n"/>
      <c r="H26" s="9" t="n"/>
      <c r="I26" s="62">
        <f>H26*F26</f>
        <v/>
      </c>
      <c r="J26" s="18" t="n"/>
      <c r="K26" s="26" t="n"/>
      <c r="L26" s="22" t="n"/>
      <c r="M26" s="18" t="n"/>
      <c r="N26" s="18" t="n"/>
      <c r="O26" s="19" t="n"/>
      <c r="P26" s="53" t="n"/>
      <c r="Q26" s="8" t="n"/>
      <c r="R26" s="69" t="n"/>
      <c r="S26" s="70" t="n"/>
      <c r="T26" s="62">
        <f>S26*Q26</f>
        <v/>
      </c>
      <c r="U26" s="18" t="n"/>
      <c r="V26" s="26" t="n"/>
    </row>
    <row r="27" ht="20.1" customHeight="1" s="50">
      <c r="A27" s="22" t="n"/>
      <c r="B27" s="18" t="n"/>
      <c r="C27" s="18" t="n"/>
      <c r="D27" s="19" t="n"/>
      <c r="E27" s="53" t="n"/>
      <c r="F27" s="8" t="n"/>
      <c r="G27" s="8" t="n"/>
      <c r="H27" s="9" t="n"/>
      <c r="I27" s="62">
        <f>H27*F27</f>
        <v/>
      </c>
      <c r="J27" s="18" t="n"/>
      <c r="K27" s="26" t="n"/>
      <c r="L27" s="22" t="n"/>
      <c r="M27" s="18" t="n"/>
      <c r="N27" s="18" t="n"/>
      <c r="O27" s="19" t="n"/>
      <c r="P27" s="53" t="n"/>
      <c r="Q27" s="8" t="n"/>
      <c r="R27" s="69" t="n"/>
      <c r="S27" s="70" t="n"/>
      <c r="T27" s="62">
        <f>S27*Q27</f>
        <v/>
      </c>
      <c r="U27" s="18" t="n"/>
      <c r="V27" s="26" t="n"/>
    </row>
    <row r="28" ht="20.1" customHeight="1" s="50">
      <c r="A28" s="22" t="n"/>
      <c r="B28" s="18" t="n"/>
      <c r="C28" s="18" t="n"/>
      <c r="D28" s="19" t="n"/>
      <c r="E28" s="53" t="n"/>
      <c r="F28" s="8" t="n"/>
      <c r="G28" s="8" t="n"/>
      <c r="H28" s="9" t="n"/>
      <c r="I28" s="62">
        <f>H28*F28</f>
        <v/>
      </c>
      <c r="J28" s="18" t="n"/>
      <c r="K28" s="26" t="n"/>
      <c r="L28" s="22" t="n"/>
      <c r="M28" s="18" t="n"/>
      <c r="N28" s="18" t="n"/>
      <c r="O28" s="19" t="n"/>
      <c r="P28" s="53" t="n"/>
      <c r="Q28" s="8" t="n"/>
      <c r="R28" s="69" t="n"/>
      <c r="S28" s="70" t="n"/>
      <c r="T28" s="62">
        <f>S28*Q28</f>
        <v/>
      </c>
      <c r="U28" s="18" t="n"/>
      <c r="V28" s="26" t="n"/>
    </row>
    <row r="29" ht="20.1" customHeight="1" s="50">
      <c r="A29" s="22" t="n"/>
      <c r="B29" s="18" t="n"/>
      <c r="C29" s="18" t="n"/>
      <c r="D29" s="19" t="n"/>
      <c r="E29" s="53" t="n"/>
      <c r="F29" s="8" t="n"/>
      <c r="G29" s="8" t="n"/>
      <c r="H29" s="10" t="n"/>
      <c r="I29" s="62">
        <f>H29*F29</f>
        <v/>
      </c>
      <c r="J29" s="18" t="n"/>
      <c r="K29" s="26" t="n"/>
      <c r="L29" s="22" t="n"/>
      <c r="M29" s="18" t="n"/>
      <c r="N29" s="18" t="n"/>
      <c r="O29" s="19" t="n"/>
      <c r="P29" s="53" t="n"/>
      <c r="Q29" s="8" t="n"/>
      <c r="R29" s="69" t="n"/>
      <c r="S29" s="71" t="n"/>
      <c r="T29" s="62">
        <f>S29*Q29</f>
        <v/>
      </c>
      <c r="U29" s="18" t="n"/>
      <c r="V29" s="26" t="n"/>
    </row>
    <row r="30" ht="20.1" customHeight="1" s="50">
      <c r="A30" s="22" t="n"/>
      <c r="B30" s="18" t="n"/>
      <c r="C30" s="18" t="n"/>
      <c r="D30" s="19" t="n"/>
      <c r="E30" s="55" t="n"/>
      <c r="F30" s="11" t="n"/>
      <c r="G30" s="11" t="n"/>
      <c r="H30" s="10" t="n"/>
      <c r="I30" s="62">
        <f>H30*F30</f>
        <v/>
      </c>
      <c r="J30" s="18" t="n"/>
      <c r="K30" s="26" t="n"/>
      <c r="L30" s="22" t="n"/>
      <c r="M30" s="18" t="n"/>
      <c r="N30" s="18" t="n"/>
      <c r="O30" s="19" t="n"/>
      <c r="P30" s="55" t="n"/>
      <c r="Q30" s="11" t="n"/>
      <c r="R30" s="72" t="n"/>
      <c r="S30" s="71" t="n"/>
      <c r="T30" s="62">
        <f>S30*Q30</f>
        <v/>
      </c>
      <c r="U30" s="18" t="n"/>
      <c r="V30" s="26" t="n"/>
    </row>
    <row r="31" ht="20.1" customHeight="1" s="50">
      <c r="A31" s="22" t="n"/>
      <c r="B31" s="18" t="n"/>
      <c r="C31" s="18" t="n"/>
      <c r="D31" s="19" t="n"/>
      <c r="E31" s="55" t="n"/>
      <c r="F31" s="11" t="n"/>
      <c r="G31" s="11" t="n"/>
      <c r="H31" s="10" t="n"/>
      <c r="I31" s="62">
        <f>H31*F31</f>
        <v/>
      </c>
      <c r="J31" s="18" t="n"/>
      <c r="K31" s="26" t="n"/>
      <c r="L31" s="22" t="n"/>
      <c r="M31" s="18" t="n"/>
      <c r="N31" s="18" t="n"/>
      <c r="O31" s="19" t="n"/>
      <c r="P31" s="55" t="n"/>
      <c r="Q31" s="11" t="n"/>
      <c r="R31" s="72" t="n"/>
      <c r="S31" s="71" t="n"/>
      <c r="T31" s="62">
        <f>S31*Q31</f>
        <v/>
      </c>
      <c r="U31" s="18" t="n"/>
      <c r="V31" s="26" t="n"/>
    </row>
    <row r="32" ht="20.1" customHeight="1" s="50">
      <c r="A32" s="47" t="n"/>
      <c r="B32" s="18" t="n"/>
      <c r="C32" s="18" t="n"/>
      <c r="D32" s="19" t="n"/>
      <c r="E32" s="55" t="n"/>
      <c r="F32" s="11" t="n"/>
      <c r="G32" s="11" t="n"/>
      <c r="H32" s="11" t="n"/>
      <c r="I32" s="62">
        <f>H32*F32</f>
        <v/>
      </c>
      <c r="J32" s="18" t="n"/>
      <c r="K32" s="26" t="n"/>
      <c r="L32" s="24" t="n"/>
      <c r="M32" s="18" t="n"/>
      <c r="N32" s="18" t="n"/>
      <c r="O32" s="19" t="n"/>
      <c r="P32" s="55" t="n"/>
      <c r="Q32" s="11" t="n"/>
      <c r="R32" s="72" t="n"/>
      <c r="S32" s="72" t="n"/>
      <c r="T32" s="62">
        <f>S32*Q32</f>
        <v/>
      </c>
      <c r="U32" s="18" t="n"/>
      <c r="V32" s="26" t="n"/>
    </row>
    <row r="33" ht="20.1" customHeight="1" s="50">
      <c r="A33" s="36" t="inlineStr">
        <is>
          <t>小計</t>
        </is>
      </c>
      <c r="B33" s="18" t="n"/>
      <c r="C33" s="18" t="n"/>
      <c r="D33" s="18" t="n"/>
      <c r="E33" s="18" t="n"/>
      <c r="F33" s="18" t="n"/>
      <c r="G33" s="18" t="n"/>
      <c r="H33" s="19" t="n"/>
      <c r="I33" s="62">
        <f>I17</f>
        <v/>
      </c>
      <c r="J33" s="18" t="n"/>
      <c r="K33" s="26" t="n"/>
      <c r="L33" s="22" t="n"/>
      <c r="M33" s="18" t="n"/>
      <c r="N33" s="18" t="n"/>
      <c r="O33" s="19" t="n"/>
      <c r="P33" s="55" t="n"/>
      <c r="Q33" s="11" t="n"/>
      <c r="R33" s="72" t="n"/>
      <c r="S33" s="71" t="n"/>
      <c r="T33" s="62">
        <f>S33*Q33</f>
        <v/>
      </c>
      <c r="U33" s="18" t="n"/>
      <c r="V33" s="26" t="n"/>
    </row>
    <row r="34" ht="20.1" customHeight="1" s="50">
      <c r="A34" s="36" t="inlineStr">
        <is>
          <t>消費税10％</t>
        </is>
      </c>
      <c r="B34" s="18" t="n"/>
      <c r="C34" s="18" t="n"/>
      <c r="D34" s="18" t="n"/>
      <c r="E34" s="18" t="n"/>
      <c r="F34" s="18" t="n"/>
      <c r="G34" s="18" t="n"/>
      <c r="H34" s="19" t="n"/>
      <c r="I34" s="67">
        <f>I33*10%</f>
        <v/>
      </c>
      <c r="J34" s="18" t="n"/>
      <c r="K34" s="26" t="n"/>
      <c r="L34" s="24" t="n"/>
      <c r="M34" s="18" t="n"/>
      <c r="N34" s="18" t="n"/>
      <c r="O34" s="19" t="n"/>
      <c r="P34" s="55" t="n"/>
      <c r="Q34" s="11" t="n"/>
      <c r="R34" s="72" t="n"/>
      <c r="S34" s="72" t="n"/>
      <c r="T34" s="62">
        <f>S34*Q34</f>
        <v/>
      </c>
      <c r="U34" s="18" t="n"/>
      <c r="V34" s="26" t="n"/>
    </row>
    <row r="35" ht="20.1" customHeight="1" s="50" thickBot="1">
      <c r="A35" s="38" t="inlineStr">
        <is>
          <t>合計</t>
        </is>
      </c>
      <c r="B35" s="30" t="n"/>
      <c r="C35" s="30" t="n"/>
      <c r="D35" s="30" t="n"/>
      <c r="E35" s="30" t="n"/>
      <c r="F35" s="30" t="n"/>
      <c r="G35" s="30" t="n"/>
      <c r="H35" s="39" t="n"/>
      <c r="I35" s="29">
        <f>I33+I34</f>
        <v/>
      </c>
      <c r="J35" s="30" t="n"/>
      <c r="K35" s="31" t="n"/>
      <c r="L35" s="36" t="inlineStr">
        <is>
          <t>小計</t>
        </is>
      </c>
      <c r="M35" s="18" t="n"/>
      <c r="N35" s="18" t="n"/>
      <c r="O35" s="18" t="n"/>
      <c r="P35" s="18" t="n"/>
      <c r="Q35" s="18" t="n"/>
      <c r="R35" s="18" t="n"/>
      <c r="S35" s="19" t="n"/>
      <c r="T35" s="62">
        <f>SUM(T17:V34)</f>
        <v/>
      </c>
      <c r="U35" s="18" t="n"/>
      <c r="V35" s="26" t="n"/>
    </row>
    <row r="36" ht="20.1" customHeight="1" s="50">
      <c r="A36" s="49" t="inlineStr">
        <is>
          <t>今後ともよろしくお願い申し上げます。</t>
        </is>
      </c>
      <c r="L36" s="36" t="inlineStr">
        <is>
          <t>消費税10％</t>
        </is>
      </c>
      <c r="M36" s="18" t="n"/>
      <c r="N36" s="18" t="n"/>
      <c r="O36" s="18" t="n"/>
      <c r="P36" s="18" t="n"/>
      <c r="Q36" s="18" t="n"/>
      <c r="R36" s="18" t="n"/>
      <c r="S36" s="19" t="n"/>
      <c r="T36" s="67">
        <f>T35*10%</f>
        <v/>
      </c>
      <c r="U36" s="18" t="n"/>
      <c r="V36" s="26" t="n"/>
    </row>
    <row r="37" ht="20.1" customHeight="1" s="50" thickBot="1">
      <c r="L37" s="38" t="inlineStr">
        <is>
          <t>合計</t>
        </is>
      </c>
      <c r="M37" s="30" t="n"/>
      <c r="N37" s="30" t="n"/>
      <c r="O37" s="30" t="n"/>
      <c r="P37" s="30" t="n"/>
      <c r="Q37" s="30" t="n"/>
      <c r="R37" s="30" t="n"/>
      <c r="S37" s="39" t="n"/>
      <c r="T37" s="29">
        <f>T35+T36</f>
        <v/>
      </c>
      <c r="U37" s="30" t="n"/>
      <c r="V37" s="31" t="n"/>
    </row>
    <row r="38" ht="12" customHeight="1" s="50">
      <c r="A38" s="12" t="n"/>
      <c r="B38" s="12" t="n"/>
      <c r="C38" s="12" t="n"/>
      <c r="D38" s="12" t="n"/>
      <c r="E38" s="12" t="n"/>
      <c r="F38" s="12" t="n"/>
      <c r="G38" s="12" t="n"/>
      <c r="H38" s="12" t="n"/>
      <c r="I38" s="12" t="n"/>
      <c r="J38" s="12" t="n"/>
      <c r="K38" s="12" t="n"/>
      <c r="L38" s="12" t="n"/>
      <c r="M38" s="12" t="n"/>
      <c r="N38" s="12" t="n"/>
      <c r="O38" s="12" t="n"/>
      <c r="P38" s="12" t="n"/>
      <c r="Q38" s="12" t="n"/>
      <c r="R38" s="12" t="n"/>
      <c r="S38" s="12" t="n"/>
      <c r="T38" s="12" t="n"/>
      <c r="U38" s="12" t="n"/>
      <c r="V38" s="12" t="n"/>
    </row>
  </sheetData>
  <mergeCells count="129">
    <mergeCell ref="I32:K32"/>
    <mergeCell ref="H10:I10"/>
    <mergeCell ref="A20:D20"/>
    <mergeCell ref="J10:K10"/>
    <mergeCell ref="L34:O34"/>
    <mergeCell ref="A29:D29"/>
    <mergeCell ref="H9:I9"/>
    <mergeCell ref="J9:K9"/>
    <mergeCell ref="L27:O27"/>
    <mergeCell ref="I24:K24"/>
    <mergeCell ref="A31:D31"/>
    <mergeCell ref="A1:C2"/>
    <mergeCell ref="L17:O17"/>
    <mergeCell ref="T22:V22"/>
    <mergeCell ref="O1:P1"/>
    <mergeCell ref="I17:K17"/>
    <mergeCell ref="A24:D24"/>
    <mergeCell ref="T31:V31"/>
    <mergeCell ref="A11:G11"/>
    <mergeCell ref="L19:O19"/>
    <mergeCell ref="T34:V34"/>
    <mergeCell ref="J4:K4"/>
    <mergeCell ref="L28:O28"/>
    <mergeCell ref="T28:V28"/>
    <mergeCell ref="S10:T10"/>
    <mergeCell ref="T37:V37"/>
    <mergeCell ref="F1:G2"/>
    <mergeCell ref="I34:K34"/>
    <mergeCell ref="A16:D16"/>
    <mergeCell ref="S9:T9"/>
    <mergeCell ref="T30:V30"/>
    <mergeCell ref="H13:I13"/>
    <mergeCell ref="T20:V20"/>
    <mergeCell ref="O2:P2"/>
    <mergeCell ref="A27:D27"/>
    <mergeCell ref="T29:V29"/>
    <mergeCell ref="U5:V5"/>
    <mergeCell ref="L36:S36"/>
    <mergeCell ref="U4:V4"/>
    <mergeCell ref="A17:D17"/>
    <mergeCell ref="L31:O31"/>
    <mergeCell ref="A22:D22"/>
    <mergeCell ref="I22:K22"/>
    <mergeCell ref="I28:K28"/>
    <mergeCell ref="L21:O21"/>
    <mergeCell ref="A19:D19"/>
    <mergeCell ref="T26:V26"/>
    <mergeCell ref="I21:K21"/>
    <mergeCell ref="A28:D28"/>
    <mergeCell ref="A10:G10"/>
    <mergeCell ref="L37:S37"/>
    <mergeCell ref="D2:E2"/>
    <mergeCell ref="I23:K23"/>
    <mergeCell ref="A30:D30"/>
    <mergeCell ref="I1:K1"/>
    <mergeCell ref="T17:V17"/>
    <mergeCell ref="L16:O16"/>
    <mergeCell ref="S12:V12"/>
    <mergeCell ref="S13:T13"/>
    <mergeCell ref="U13:V13"/>
    <mergeCell ref="H11:I11"/>
    <mergeCell ref="J11:K11"/>
    <mergeCell ref="T19:V19"/>
    <mergeCell ref="A9:F9"/>
    <mergeCell ref="T32:V32"/>
    <mergeCell ref="L30:O30"/>
    <mergeCell ref="I27:K27"/>
    <mergeCell ref="A26:D26"/>
    <mergeCell ref="A12:G12"/>
    <mergeCell ref="L20:O20"/>
    <mergeCell ref="U10:V10"/>
    <mergeCell ref="L29:O29"/>
    <mergeCell ref="L10:R10"/>
    <mergeCell ref="I25:K25"/>
    <mergeCell ref="U9:V9"/>
    <mergeCell ref="L22:O22"/>
    <mergeCell ref="D1:E1"/>
    <mergeCell ref="H12:K12"/>
    <mergeCell ref="T21:V21"/>
    <mergeCell ref="L11:R11"/>
    <mergeCell ref="T1:V1"/>
    <mergeCell ref="T23:V23"/>
    <mergeCell ref="M3:O3"/>
    <mergeCell ref="L32:O32"/>
    <mergeCell ref="I20:K20"/>
    <mergeCell ref="T16:V16"/>
    <mergeCell ref="I29:K29"/>
    <mergeCell ref="A5:D6"/>
    <mergeCell ref="T27:V27"/>
    <mergeCell ref="T36:V36"/>
    <mergeCell ref="T18:V18"/>
    <mergeCell ref="I31:K31"/>
    <mergeCell ref="A33:H33"/>
    <mergeCell ref="L24:O24"/>
    <mergeCell ref="L18:O18"/>
    <mergeCell ref="L33:O33"/>
    <mergeCell ref="T33:V33"/>
    <mergeCell ref="A35:H35"/>
    <mergeCell ref="L26:O26"/>
    <mergeCell ref="A21:D21"/>
    <mergeCell ref="T35:V35"/>
    <mergeCell ref="I26:K26"/>
    <mergeCell ref="Q1:R2"/>
    <mergeCell ref="A32:D32"/>
    <mergeCell ref="L25:O25"/>
    <mergeCell ref="T25:V25"/>
    <mergeCell ref="A34:H34"/>
    <mergeCell ref="I16:K16"/>
    <mergeCell ref="A23:D23"/>
    <mergeCell ref="J5:K5"/>
    <mergeCell ref="I18:K18"/>
    <mergeCell ref="J13:K13"/>
    <mergeCell ref="I33:K33"/>
    <mergeCell ref="L5:O6"/>
    <mergeCell ref="S11:T11"/>
    <mergeCell ref="U11:V11"/>
    <mergeCell ref="L9:Q9"/>
    <mergeCell ref="I35:K35"/>
    <mergeCell ref="I19:K19"/>
    <mergeCell ref="L35:S35"/>
    <mergeCell ref="A25:D25"/>
    <mergeCell ref="L12:R12"/>
    <mergeCell ref="I30:K30"/>
    <mergeCell ref="T24:V24"/>
    <mergeCell ref="L23:O23"/>
    <mergeCell ref="B3:D3"/>
    <mergeCell ref="A18:D18"/>
    <mergeCell ref="L1:N2"/>
    <mergeCell ref="A36:K37"/>
  </mergeCells>
  <conditionalFormatting sqref="I17:K32">
    <cfRule type="cellIs" priority="3" operator="equal" dxfId="0">
      <formula>0</formula>
    </cfRule>
  </conditionalFormatting>
  <conditionalFormatting sqref="T17:V34">
    <cfRule type="cellIs" priority="1" operator="equal" dxfId="0">
      <formula>0</formula>
    </cfRule>
  </conditionalFormatting>
  <hyperlinks>
    <hyperlink xmlns:r="http://schemas.openxmlformats.org/officeDocument/2006/relationships" ref="A10" display="TEL:0532-88-7770" r:id="rId1"/>
    <hyperlink xmlns:r="http://schemas.openxmlformats.org/officeDocument/2006/relationships" ref="L10" display="TEL:0532-88-7770" r:id="rId2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2026-02-26T06:06:18Z</dcterms:created>
  <dcterms:modified xsi:type="dcterms:W3CDTF">2026-04-01T14:21:09Z</dcterms:modified>
  <cp:lastModifiedBy>はつく はつく</cp:lastModifiedBy>
  <cp:lastPrinted>2026-04-01T13:27:01Z</cp:lastPrinted>
</cp:coreProperties>
</file>